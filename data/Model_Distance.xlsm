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salyonfrance.sharepoint.com/sites/INR711/Documents partages/General/0 - Documents initiaux/"/>
    </mc:Choice>
  </mc:AlternateContent>
  <xr:revisionPtr revIDLastSave="674" documentId="8_{CCD0E7D9-1624-4DDE-8696-2D3E305F11B0}" xr6:coauthVersionLast="47" xr6:coauthVersionMax="47" xr10:uidLastSave="{2BBCC73E-FFFE-4825-8022-EC50FDA9B518}"/>
  <bookViews>
    <workbookView xWindow="-108" yWindow="-108" windowWidth="23256" windowHeight="12576" activeTab="1" xr2:uid="{2D78D26B-973B-4807-98A5-4C2208D183DB}"/>
  </bookViews>
  <sheets>
    <sheet name="Model" sheetId="5" r:id="rId1"/>
    <sheet name="Repres_Geo" sheetId="6" r:id="rId2"/>
    <sheet name="Tri" sheetId="7" r:id="rId3"/>
    <sheet name="Location" sheetId="1" r:id="rId4"/>
    <sheet name="Time travel" sheetId="2" r:id="rId5"/>
    <sheet name="Distance Travel" sheetId="3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" l="1"/>
  <c r="E26" i="1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" i="2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AB3" i="1"/>
  <c r="AA3" i="1"/>
  <c r="Z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3" i="1"/>
  <c r="L4" i="1"/>
  <c r="M4" i="1"/>
  <c r="N4" i="1"/>
  <c r="L5" i="1"/>
  <c r="M5" i="1"/>
  <c r="N5" i="1"/>
  <c r="L6" i="1"/>
  <c r="M6" i="1"/>
  <c r="N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M21" i="1"/>
  <c r="N21" i="1"/>
  <c r="L22" i="1"/>
  <c r="M22" i="1"/>
  <c r="N22" i="1"/>
  <c r="L23" i="1"/>
  <c r="M23" i="1"/>
  <c r="N23" i="1"/>
  <c r="L3" i="1"/>
  <c r="M3" i="1"/>
  <c r="N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3" i="1"/>
</calcChain>
</file>

<file path=xl/sharedStrings.xml><?xml version="1.0" encoding="utf-8"?>
<sst xmlns="http://schemas.openxmlformats.org/spreadsheetml/2006/main" count="61" uniqueCount="45">
  <si>
    <t>Indice</t>
  </si>
  <si>
    <t>Latitude</t>
  </si>
  <si>
    <t>Longitude</t>
  </si>
  <si>
    <t>Inside model</t>
  </si>
  <si>
    <t>Capacity</t>
  </si>
  <si>
    <t>Filling rate</t>
  </si>
  <si>
    <t>Requested</t>
  </si>
  <si>
    <t>Not requested</t>
  </si>
  <si>
    <t>Filling Rate / Capacity</t>
  </si>
  <si>
    <t>Filling rate / Capacity</t>
  </si>
  <si>
    <t>Rank Filling rate</t>
  </si>
  <si>
    <t>Adress</t>
  </si>
  <si>
    <t xml:space="preserve">Name </t>
  </si>
  <si>
    <t>25 route de Vaulx 69150 Décines</t>
  </si>
  <si>
    <t>Entrepot 1</t>
  </si>
  <si>
    <t>7 Rue Laporte, 69009 Lyon</t>
  </si>
  <si>
    <t>D'ox epicerie</t>
  </si>
  <si>
    <t>14 Rue Paul Lafargue, 69100 Villeurbanne</t>
  </si>
  <si>
    <t>Bieristan</t>
  </si>
  <si>
    <t>10 Rue des Droits de l'Homme, 69120 Vaulx-en-Velin</t>
  </si>
  <si>
    <t>Prairial</t>
  </si>
  <si>
    <t>72 Avenue de Verdun, 69330 Meyzieu</t>
  </si>
  <si>
    <t>Passion biere</t>
  </si>
  <si>
    <t>388 rue Antoine Pinay 69740 Genas</t>
  </si>
  <si>
    <t>Nomad Brewery</t>
  </si>
  <si>
    <t>124 Rue Sébastien Gryphe, 69007 Lyon</t>
  </si>
  <si>
    <t>3 ptits pois</t>
  </si>
  <si>
    <t xml:space="preserve"> 13 rue Jangot 69007 Lyon</t>
  </si>
  <si>
    <t>LE COURT CIRCUIT</t>
  </si>
  <si>
    <t>Ninkasi Guillotière</t>
  </si>
  <si>
    <t>Ninkasi Croix-Rousse</t>
  </si>
  <si>
    <t>Ninkasi Gerland</t>
  </si>
  <si>
    <t>Ninkasi Sans Souci</t>
  </si>
  <si>
    <t>Ninkasi Gorge de Loup</t>
  </si>
  <si>
    <t>Ninkasi SAINT PAUL</t>
  </si>
  <si>
    <t xml:space="preserve">Ninkasi Brignais </t>
  </si>
  <si>
    <t>Ninkasi La Doua</t>
  </si>
  <si>
    <t xml:space="preserve">Ninkasi Vaise </t>
  </si>
  <si>
    <t xml:space="preserve">Ninkasi Part-Dieu </t>
  </si>
  <si>
    <t>Ninkasi Gratte-ciel</t>
  </si>
  <si>
    <t xml:space="preserve">Ninkasi La Soie </t>
  </si>
  <si>
    <t>Ninkasi Champagne</t>
  </si>
  <si>
    <t>Ninkasi Tignieu</t>
  </si>
  <si>
    <t>Dépôt</t>
  </si>
  <si>
    <t>Filing Rate/Capacity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</si>
</sst>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2" fontId="0" fillId="0" borderId="0" xfId="0" applyNumberFormat="1"/>
    <xf numFmtId="2" fontId="0" fillId="2" borderId="0" xfId="0" applyNumberFormat="1" applyFill="1"/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Modèle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Repres_Geo!$A$1</c:f>
              <c:strCache>
                <c:ptCount val="1"/>
                <c:pt idx="0">
                  <c:v>Dépôt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40DEAA9-BCA5-41C9-AA72-5F38CE809B0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5C-4371-AC3B-5C8862C6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Repres_Geo!$C$3</c:f>
              <c:numCache>
                <c:formatCode>General</c:formatCode>
                <c:ptCount val="1"/>
                <c:pt idx="0">
                  <c:v>4.9501759999999999</c:v>
                </c:pt>
              </c:numCache>
            </c:numRef>
          </c:xVal>
          <c:yVal>
            <c:numRef>
              <c:f>Repres_Geo!$B$3</c:f>
              <c:numCache>
                <c:formatCode>General</c:formatCode>
                <c:ptCount val="1"/>
                <c:pt idx="0">
                  <c:v>45.777715999999998</c:v>
                </c:pt>
              </c:numCache>
            </c:numRef>
          </c:yVal>
          <c:bubbleSize>
            <c:numRef>
              <c:f>Repres_Geo!$D$3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Repres_Geo!$A$3</c15:f>
                <c15:dlblRangeCache>
                  <c:ptCount val="1"/>
                  <c:pt idx="0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15C-4371-AC3B-5C8862C6D312}"/>
            </c:ext>
          </c:extLst>
        </c:ser>
        <c:ser>
          <c:idx val="1"/>
          <c:order val="1"/>
          <c:tx>
            <c:strRef>
              <c:f>Repres_Geo!$F$1</c:f>
              <c:strCache>
                <c:ptCount val="1"/>
                <c:pt idx="0">
                  <c:v>Requested</c:v>
                </c:pt>
              </c:strCache>
            </c:strRef>
          </c:tx>
          <c:spPr>
            <a:solidFill>
              <a:schemeClr val="accent2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D6B0B97-E67B-4C78-9271-85E67E1C842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5C-4371-AC3B-5C8862C6D3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528E13-A83A-4A0D-9E58-DAC77C825E9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5C-4371-AC3B-5C8862C6D3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5C-4371-AC3B-5C8862C6D3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5C-4371-AC3B-5C8862C6D3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5C-4371-AC3B-5C8862C6D3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5C-4371-AC3B-5C8862C6D3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5C-4371-AC3B-5C8862C6D3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5C-4371-AC3B-5C8862C6D3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5C-4371-AC3B-5C8862C6D3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5C-4371-AC3B-5C8862C6D3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5C-4371-AC3B-5C8862C6D3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5C-4371-AC3B-5C8862C6D3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5C-4371-AC3B-5C8862C6D3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5C-4371-AC3B-5C8862C6D3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5C-4371-AC3B-5C8862C6D3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5C-4371-AC3B-5C8862C6D3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5C-4371-AC3B-5C8862C6D3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5C-4371-AC3B-5C8862C6D3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5C-4371-AC3B-5C8862C6D3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5C-4371-AC3B-5C8862C6D3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5C-4371-AC3B-5C8862C6D3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5C-4371-AC3B-5C8862C6D3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5C-4371-AC3B-5C8862C6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Repres_Geo!$H$3:$H$25</c:f>
              <c:numCache>
                <c:formatCode>General</c:formatCode>
                <c:ptCount val="23"/>
                <c:pt idx="0">
                  <c:v>4.8047279999999999</c:v>
                </c:pt>
                <c:pt idx="1">
                  <c:v>4.9845889999999997</c:v>
                </c:pt>
              </c:numCache>
            </c:numRef>
          </c:xVal>
          <c:yVal>
            <c:numRef>
              <c:f>Repres_Geo!$G$3:$G$25</c:f>
              <c:numCache>
                <c:formatCode>General</c:formatCode>
                <c:ptCount val="23"/>
                <c:pt idx="0">
                  <c:v>45.778543999999997</c:v>
                </c:pt>
                <c:pt idx="1">
                  <c:v>45.730657999999998</c:v>
                </c:pt>
              </c:numCache>
            </c:numRef>
          </c:yVal>
          <c:bubbleSize>
            <c:numRef>
              <c:f>Repres_Geo!$I$3:$I$25</c:f>
              <c:numCache>
                <c:formatCode>General</c:formatCode>
                <c:ptCount val="23"/>
                <c:pt idx="0">
                  <c:v>0.8</c:v>
                </c:pt>
                <c:pt idx="1">
                  <c:v>0.5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Repres_Geo!$F$3:$F$25</c15:f>
                <c15:dlblRangeCache>
                  <c:ptCount val="23"/>
                  <c:pt idx="0">
                    <c:v>1</c:v>
                  </c:pt>
                  <c:pt idx="1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415C-4371-AC3B-5C8862C6D312}"/>
            </c:ext>
          </c:extLst>
        </c:ser>
        <c:ser>
          <c:idx val="2"/>
          <c:order val="2"/>
          <c:tx>
            <c:strRef>
              <c:f>Repres_Geo!$K$1</c:f>
              <c:strCache>
                <c:ptCount val="1"/>
                <c:pt idx="0">
                  <c:v>Not requested</c:v>
                </c:pt>
              </c:strCache>
            </c:strRef>
          </c:tx>
          <c:spPr>
            <a:solidFill>
              <a:schemeClr val="accent3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CBA75B8-3D03-4574-9BF6-7E1CDE8A198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5C-4371-AC3B-5C8862C6D3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47601A-5C47-4BD8-BCB3-F7317AAC8C4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5C-4371-AC3B-5C8862C6D3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4E1CFA-3F36-45DA-93F6-3D7A751176E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5C-4371-AC3B-5C8862C6D3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AE06CE-E5D3-4A88-A242-0E2D3D4B0DC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5C-4371-AC3B-5C8862C6D3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84068C-3EBA-4EA0-A588-0339F2E3EFC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5C-4371-AC3B-5C8862C6D3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5C-4371-AC3B-5C8862C6D3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5C-4371-AC3B-5C8862C6D3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5C-4371-AC3B-5C8862C6D3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5C-4371-AC3B-5C8862C6D3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5C-4371-AC3B-5C8862C6D3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5C-4371-AC3B-5C8862C6D3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5C-4371-AC3B-5C8862C6D3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5C-4371-AC3B-5C8862C6D3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5C-4371-AC3B-5C8862C6D3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5C-4371-AC3B-5C8862C6D3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5C-4371-AC3B-5C8862C6D3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5C-4371-AC3B-5C8862C6D3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5C-4371-AC3B-5C8862C6D3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5C-4371-AC3B-5C8862C6D3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5C-4371-AC3B-5C8862C6D3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5C-4371-AC3B-5C8862C6D3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5C-4371-AC3B-5C8862C6D3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5C-4371-AC3B-5C8862C6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Repres_Geo!$M$3:$M$25</c:f>
              <c:numCache>
                <c:formatCode>General</c:formatCode>
                <c:ptCount val="23"/>
                <c:pt idx="0">
                  <c:v>4.8835639999999998</c:v>
                </c:pt>
                <c:pt idx="1">
                  <c:v>4.9272559999999999</c:v>
                </c:pt>
                <c:pt idx="2">
                  <c:v>4.9929690000000004</c:v>
                </c:pt>
                <c:pt idx="3">
                  <c:v>4.8392580000000001</c:v>
                </c:pt>
                <c:pt idx="4">
                  <c:v>4.8432649999999997</c:v>
                </c:pt>
              </c:numCache>
            </c:numRef>
          </c:xVal>
          <c:yVal>
            <c:numRef>
              <c:f>Repres_Geo!$L$3:$L$25</c:f>
              <c:numCache>
                <c:formatCode>General</c:formatCode>
                <c:ptCount val="23"/>
                <c:pt idx="0">
                  <c:v>45.767896</c:v>
                </c:pt>
                <c:pt idx="1">
                  <c:v>45.766869</c:v>
                </c:pt>
                <c:pt idx="2">
                  <c:v>45.777186</c:v>
                </c:pt>
                <c:pt idx="3">
                  <c:v>45.748314000000001</c:v>
                </c:pt>
                <c:pt idx="4">
                  <c:v>45.751669</c:v>
                </c:pt>
              </c:numCache>
            </c:numRef>
          </c:yVal>
          <c:bubbleSize>
            <c:numRef>
              <c:f>Repres_Geo!$N$3:$N$25</c:f>
              <c:numCache>
                <c:formatCode>General</c:formatCode>
                <c:ptCount val="23"/>
                <c:pt idx="0">
                  <c:v>0.7</c:v>
                </c:pt>
                <c:pt idx="1">
                  <c:v>1</c:v>
                </c:pt>
                <c:pt idx="2">
                  <c:v>0.6</c:v>
                </c:pt>
                <c:pt idx="3">
                  <c:v>0.4</c:v>
                </c:pt>
                <c:pt idx="4">
                  <c:v>0.8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Repres_Geo!$K$3:$K$25</c15:f>
                <c15:dlblRangeCache>
                  <c:ptCount val="23"/>
                  <c:pt idx="0">
                    <c:v>2</c:v>
                  </c:pt>
                  <c:pt idx="1">
                    <c:v>3</c:v>
                  </c:pt>
                  <c:pt idx="2">
                    <c:v>4</c:v>
                  </c:pt>
                  <c:pt idx="3">
                    <c:v>6</c:v>
                  </c:pt>
                  <c:pt idx="4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415C-4371-AC3B-5C8862C6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1519839152"/>
        <c:axId val="1519838736"/>
      </c:bubbleChart>
      <c:valAx>
        <c:axId val="151983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19838736"/>
        <c:crosses val="autoZero"/>
        <c:crossBetween val="midCat"/>
      </c:valAx>
      <c:valAx>
        <c:axId val="1519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19839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358140</xdr:colOff>
          <xdr:row>0</xdr:row>
          <xdr:rowOff>259080</xdr:rowOff>
        </xdr:from>
        <xdr:to>
          <xdr:col>16</xdr:col>
          <xdr:colOff>510540</xdr:colOff>
          <xdr:row>1</xdr:row>
          <xdr:rowOff>320040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Dessiner le modèle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640080</xdr:colOff>
      <xdr:row>4</xdr:row>
      <xdr:rowOff>163830</xdr:rowOff>
    </xdr:from>
    <xdr:to>
      <xdr:col>11</xdr:col>
      <xdr:colOff>457200</xdr:colOff>
      <xdr:row>26</xdr:row>
      <xdr:rowOff>60960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05631F7-EF9E-4357-9300-6BDD77165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FFAB-382B-4033-A88D-F98CF12EB967}">
  <sheetPr codeName="sheetModel"/>
  <dimension ref="A1:G23"/>
  <sheetViews>
    <sheetView workbookViewId="0">
      <selection activeCell="D3" sqref="D3"/>
    </sheetView>
  </sheetViews>
  <sheetFormatPr baseColWidth="10" defaultColWidth="11.5546875" defaultRowHeight="14.4" x14ac:dyDescent="0.3"/>
  <cols>
    <col min="1" max="16384" width="11.5546875" style="5"/>
  </cols>
  <sheetData>
    <row r="1" spans="1:7" ht="28.95" customHeight="1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</row>
    <row r="2" spans="1:7" x14ac:dyDescent="0.3">
      <c r="A2" s="5">
        <v>0</v>
      </c>
      <c r="B2" s="5">
        <v>45.777715999999998</v>
      </c>
      <c r="C2" s="5">
        <v>4.9501759999999999</v>
      </c>
      <c r="D2" s="5">
        <v>1</v>
      </c>
      <c r="E2">
        <v>1</v>
      </c>
      <c r="F2">
        <v>0</v>
      </c>
      <c r="G2">
        <v>0</v>
      </c>
    </row>
    <row r="3" spans="1:7" x14ac:dyDescent="0.3">
      <c r="A3" s="5">
        <v>1</v>
      </c>
      <c r="B3" s="5">
        <v>45.778543999999997</v>
      </c>
      <c r="C3" s="5">
        <v>4.8047279999999999</v>
      </c>
      <c r="D3" s="5">
        <v>1</v>
      </c>
      <c r="E3">
        <v>10</v>
      </c>
      <c r="F3">
        <v>8</v>
      </c>
      <c r="G3">
        <v>1</v>
      </c>
    </row>
    <row r="4" spans="1:7" x14ac:dyDescent="0.3">
      <c r="A4" s="5">
        <v>2</v>
      </c>
      <c r="B4" s="5">
        <v>45.767896</v>
      </c>
      <c r="C4" s="5">
        <v>4.8835639999999998</v>
      </c>
      <c r="D4" s="5">
        <v>1</v>
      </c>
      <c r="E4">
        <v>10</v>
      </c>
      <c r="F4">
        <v>7</v>
      </c>
      <c r="G4">
        <v>0</v>
      </c>
    </row>
    <row r="5" spans="1:7" x14ac:dyDescent="0.3">
      <c r="A5" s="5">
        <v>3</v>
      </c>
      <c r="B5" s="5">
        <v>45.766869</v>
      </c>
      <c r="C5" s="5">
        <v>4.9272559999999999</v>
      </c>
      <c r="D5" s="5">
        <v>1</v>
      </c>
      <c r="E5">
        <v>10</v>
      </c>
      <c r="F5">
        <v>10</v>
      </c>
      <c r="G5">
        <v>0</v>
      </c>
    </row>
    <row r="6" spans="1:7" x14ac:dyDescent="0.3">
      <c r="A6" s="5">
        <v>4</v>
      </c>
      <c r="B6" s="5">
        <v>45.777186</v>
      </c>
      <c r="C6" s="5">
        <v>4.9929690000000004</v>
      </c>
      <c r="D6" s="5">
        <v>1</v>
      </c>
      <c r="E6">
        <v>10</v>
      </c>
      <c r="F6">
        <v>6</v>
      </c>
      <c r="G6">
        <v>0</v>
      </c>
    </row>
    <row r="7" spans="1:7" x14ac:dyDescent="0.3">
      <c r="A7" s="5">
        <v>5</v>
      </c>
      <c r="B7" s="5">
        <v>45.730657999999998</v>
      </c>
      <c r="C7" s="5">
        <v>4.9845889999999997</v>
      </c>
      <c r="D7" s="5">
        <v>1</v>
      </c>
      <c r="E7">
        <v>10</v>
      </c>
      <c r="F7">
        <v>5</v>
      </c>
      <c r="G7">
        <v>1</v>
      </c>
    </row>
    <row r="8" spans="1:7" x14ac:dyDescent="0.3">
      <c r="A8" s="5">
        <v>6</v>
      </c>
      <c r="B8" s="5">
        <v>45.748314000000001</v>
      </c>
      <c r="C8" s="5">
        <v>4.8392580000000001</v>
      </c>
      <c r="D8" s="5">
        <v>1</v>
      </c>
      <c r="E8">
        <v>10</v>
      </c>
      <c r="F8">
        <v>4</v>
      </c>
      <c r="G8">
        <v>0</v>
      </c>
    </row>
    <row r="9" spans="1:7" x14ac:dyDescent="0.3">
      <c r="A9" s="5">
        <v>7</v>
      </c>
      <c r="B9" s="5">
        <v>45.751669</v>
      </c>
      <c r="C9" s="5">
        <v>4.8432649999999997</v>
      </c>
      <c r="D9" s="5">
        <v>1</v>
      </c>
      <c r="E9">
        <v>10</v>
      </c>
      <c r="F9">
        <v>8</v>
      </c>
      <c r="G9">
        <v>0</v>
      </c>
    </row>
    <row r="10" spans="1:7" x14ac:dyDescent="0.3">
      <c r="A10" s="5">
        <v>8</v>
      </c>
      <c r="B10" s="5">
        <v>45.756169999999997</v>
      </c>
      <c r="C10" s="5">
        <v>4.8410409999999997</v>
      </c>
    </row>
    <row r="11" spans="1:7" x14ac:dyDescent="0.3">
      <c r="A11" s="5">
        <v>9</v>
      </c>
      <c r="B11" s="5">
        <v>45.758234999999999</v>
      </c>
      <c r="C11" s="5">
        <v>4.842257</v>
      </c>
    </row>
    <row r="12" spans="1:7" x14ac:dyDescent="0.3">
      <c r="A12" s="5">
        <v>10</v>
      </c>
      <c r="B12" s="5">
        <v>45.728206999999998</v>
      </c>
      <c r="C12" s="5">
        <v>4.8307339999999996</v>
      </c>
    </row>
    <row r="13" spans="1:7" x14ac:dyDescent="0.3">
      <c r="A13" s="5">
        <v>11</v>
      </c>
      <c r="B13" s="5">
        <v>45.748303999999997</v>
      </c>
      <c r="C13" s="5">
        <v>4.8628410000000004</v>
      </c>
    </row>
    <row r="14" spans="1:7" x14ac:dyDescent="0.3">
      <c r="A14" s="5">
        <v>12</v>
      </c>
      <c r="B14" s="5">
        <v>45.771424000000003</v>
      </c>
      <c r="C14" s="5">
        <v>4.8053650000000001</v>
      </c>
    </row>
    <row r="15" spans="1:7" x14ac:dyDescent="0.3">
      <c r="A15" s="5">
        <v>13</v>
      </c>
      <c r="B15" s="5">
        <v>45.765929999999997</v>
      </c>
      <c r="C15" s="5">
        <v>4.8280060000000002</v>
      </c>
    </row>
    <row r="16" spans="1:7" x14ac:dyDescent="0.3">
      <c r="A16" s="5">
        <v>14</v>
      </c>
      <c r="B16" s="5">
        <v>45.677446000000003</v>
      </c>
      <c r="C16" s="5">
        <v>4.7691330000000001</v>
      </c>
    </row>
    <row r="17" spans="1:3" x14ac:dyDescent="0.3">
      <c r="A17" s="5">
        <v>15</v>
      </c>
      <c r="B17" s="5">
        <v>45.778868000000003</v>
      </c>
      <c r="C17" s="5">
        <v>4.8728319999999998</v>
      </c>
    </row>
    <row r="18" spans="1:3" x14ac:dyDescent="0.3">
      <c r="A18" s="5">
        <v>16</v>
      </c>
      <c r="B18" s="5">
        <v>45.788297999999998</v>
      </c>
      <c r="C18" s="5">
        <v>4.8128250000000001</v>
      </c>
    </row>
    <row r="19" spans="1:3" x14ac:dyDescent="0.3">
      <c r="A19" s="5">
        <v>17</v>
      </c>
      <c r="B19" s="5">
        <v>45.757747000000002</v>
      </c>
      <c r="C19" s="5">
        <v>4.8582539999999996</v>
      </c>
    </row>
    <row r="20" spans="1:3" x14ac:dyDescent="0.3">
      <c r="A20" s="5">
        <v>18</v>
      </c>
      <c r="B20" s="5">
        <v>45.769170000000003</v>
      </c>
      <c r="C20" s="5">
        <v>4.8792280000000003</v>
      </c>
    </row>
    <row r="21" spans="1:3" x14ac:dyDescent="0.3">
      <c r="A21" s="5">
        <v>19</v>
      </c>
      <c r="B21" s="5">
        <v>45.760997000000003</v>
      </c>
      <c r="C21" s="5">
        <v>4.9195799999999998</v>
      </c>
    </row>
    <row r="22" spans="1:3" x14ac:dyDescent="0.3">
      <c r="A22" s="5">
        <v>20</v>
      </c>
      <c r="B22" s="5">
        <v>45.804107000000002</v>
      </c>
      <c r="C22" s="5">
        <v>4.7830690000000002</v>
      </c>
    </row>
    <row r="23" spans="1:3" x14ac:dyDescent="0.3">
      <c r="A23" s="5">
        <v>21</v>
      </c>
      <c r="B23" s="5">
        <v>45.749445999999999</v>
      </c>
      <c r="C23" s="5">
        <v>5.1861519999999999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30031-F493-498D-B02E-3D30017ACCDE}">
  <sheetPr codeName="sheetGeo"/>
  <dimension ref="A1:N7"/>
  <sheetViews>
    <sheetView tabSelected="1" workbookViewId="0">
      <selection activeCell="D14" sqref="D14"/>
    </sheetView>
  </sheetViews>
  <sheetFormatPr baseColWidth="10" defaultColWidth="11.5546875" defaultRowHeight="14.4" x14ac:dyDescent="0.3"/>
  <cols>
    <col min="1" max="3" width="11.5546875" style="5"/>
    <col min="4" max="4" width="14.44140625" style="5" customWidth="1"/>
    <col min="5" max="16384" width="11.5546875" style="5"/>
  </cols>
  <sheetData>
    <row r="1" spans="1:14" ht="29.4" customHeight="1" x14ac:dyDescent="0.3">
      <c r="A1" s="10" t="s">
        <v>43</v>
      </c>
      <c r="B1" s="10"/>
      <c r="C1" s="10"/>
      <c r="D1" s="10"/>
      <c r="F1" s="9" t="s">
        <v>6</v>
      </c>
      <c r="G1" s="9"/>
      <c r="H1" s="9"/>
      <c r="I1" s="9"/>
      <c r="K1" s="12" t="s">
        <v>7</v>
      </c>
      <c r="L1" s="12"/>
      <c r="M1" s="12"/>
      <c r="N1" s="12"/>
    </row>
    <row r="2" spans="1:14" ht="29.4" customHeight="1" x14ac:dyDescent="0.3">
      <c r="A2" s="6" t="s">
        <v>0</v>
      </c>
      <c r="B2" s="6" t="s">
        <v>1</v>
      </c>
      <c r="C2" s="6" t="s">
        <v>2</v>
      </c>
      <c r="D2" s="11" t="s">
        <v>44</v>
      </c>
      <c r="F2" s="8" t="s">
        <v>0</v>
      </c>
      <c r="G2" s="8" t="s">
        <v>1</v>
      </c>
      <c r="H2" s="8" t="s">
        <v>2</v>
      </c>
      <c r="I2" s="7" t="s">
        <v>8</v>
      </c>
      <c r="K2" s="13" t="s">
        <v>0</v>
      </c>
      <c r="L2" s="13" t="s">
        <v>1</v>
      </c>
      <c r="M2" s="13" t="s">
        <v>2</v>
      </c>
      <c r="N2" s="14" t="s">
        <v>9</v>
      </c>
    </row>
    <row r="3" spans="1:14" x14ac:dyDescent="0.3">
      <c r="A3" s="5">
        <v>0</v>
      </c>
      <c r="B3" s="5">
        <v>45.777715999999998</v>
      </c>
      <c r="C3" s="5">
        <v>4.9501759999999999</v>
      </c>
      <c r="D3" s="5">
        <v>1</v>
      </c>
      <c r="F3" s="5">
        <v>1</v>
      </c>
      <c r="G3" s="5">
        <v>45.778543999999997</v>
      </c>
      <c r="H3" s="5">
        <v>4.8047279999999999</v>
      </c>
      <c r="I3" s="5">
        <v>0.8</v>
      </c>
      <c r="K3" s="5">
        <v>2</v>
      </c>
      <c r="L3" s="5">
        <v>45.767896</v>
      </c>
      <c r="M3" s="5">
        <v>4.8835639999999998</v>
      </c>
      <c r="N3" s="5">
        <v>0.7</v>
      </c>
    </row>
    <row r="4" spans="1:14" x14ac:dyDescent="0.3">
      <c r="F4" s="5">
        <v>5</v>
      </c>
      <c r="G4" s="5">
        <v>45.730657999999998</v>
      </c>
      <c r="H4" s="5">
        <v>4.9845889999999997</v>
      </c>
      <c r="I4" s="5">
        <v>0.5</v>
      </c>
      <c r="K4" s="5">
        <v>3</v>
      </c>
      <c r="L4" s="5">
        <v>45.766869</v>
      </c>
      <c r="M4" s="5">
        <v>4.9272559999999999</v>
      </c>
      <c r="N4" s="5">
        <v>1</v>
      </c>
    </row>
    <row r="5" spans="1:14" x14ac:dyDescent="0.3">
      <c r="K5" s="5">
        <v>4</v>
      </c>
      <c r="L5" s="5">
        <v>45.777186</v>
      </c>
      <c r="M5" s="5">
        <v>4.9929690000000004</v>
      </c>
      <c r="N5" s="5">
        <v>0.6</v>
      </c>
    </row>
    <row r="6" spans="1:14" x14ac:dyDescent="0.3">
      <c r="K6" s="5">
        <v>6</v>
      </c>
      <c r="L6" s="5">
        <v>45.748314000000001</v>
      </c>
      <c r="M6" s="5">
        <v>4.8392580000000001</v>
      </c>
      <c r="N6" s="5">
        <v>0.4</v>
      </c>
    </row>
    <row r="7" spans="1:14" x14ac:dyDescent="0.3">
      <c r="K7" s="5">
        <v>7</v>
      </c>
      <c r="L7" s="5">
        <v>45.751669</v>
      </c>
      <c r="M7" s="5">
        <v>4.8432649999999997</v>
      </c>
      <c r="N7" s="5">
        <v>0.8</v>
      </c>
    </row>
  </sheetData>
  <sortState xmlns:xlrd2="http://schemas.microsoft.com/office/spreadsheetml/2017/richdata2" ref="S6:V12">
    <sortCondition descending="1" ref="V6:V12"/>
  </sortState>
  <mergeCells count="3">
    <mergeCell ref="F1:I1"/>
    <mergeCell ref="K1:N1"/>
    <mergeCell ref="A1:D1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rawModel">
                <anchor>
                  <from>
                    <xdr:col>14</xdr:col>
                    <xdr:colOff>358140</xdr:colOff>
                    <xdr:row>0</xdr:row>
                    <xdr:rowOff>259080</xdr:rowOff>
                  </from>
                  <to>
                    <xdr:col>16</xdr:col>
                    <xdr:colOff>510540</xdr:colOff>
                    <xdr:row>1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86C99-2606-47D1-9033-9B9556EF5130}">
  <sheetPr codeName="sheetSort"/>
  <dimension ref="A1:E9"/>
  <sheetViews>
    <sheetView workbookViewId="0">
      <selection activeCell="C23" sqref="C23"/>
    </sheetView>
  </sheetViews>
  <sheetFormatPr baseColWidth="10" defaultColWidth="11.5546875" defaultRowHeight="14.4" x14ac:dyDescent="0.3"/>
  <cols>
    <col min="1" max="4" width="11.5546875" style="5"/>
    <col min="5" max="5" width="20.88671875" style="5" customWidth="1"/>
    <col min="6" max="16384" width="11.5546875" style="5"/>
  </cols>
  <sheetData>
    <row r="1" spans="1:5" ht="28.2" customHeight="1" x14ac:dyDescent="0.3">
      <c r="A1" s="6" t="s">
        <v>0</v>
      </c>
      <c r="B1" s="6" t="s">
        <v>4</v>
      </c>
      <c r="C1" s="6" t="s">
        <v>5</v>
      </c>
      <c r="D1" s="6" t="s">
        <v>6</v>
      </c>
      <c r="E1" s="6" t="s">
        <v>10</v>
      </c>
    </row>
    <row r="2" spans="1:5" x14ac:dyDescent="0.3">
      <c r="A2" s="5">
        <v>0</v>
      </c>
      <c r="B2" s="5">
        <v>1</v>
      </c>
      <c r="C2" s="5">
        <v>0</v>
      </c>
      <c r="D2" s="5">
        <v>0</v>
      </c>
    </row>
    <row r="3" spans="1:5" x14ac:dyDescent="0.3">
      <c r="A3" s="5">
        <v>1</v>
      </c>
      <c r="B3" s="5">
        <v>10</v>
      </c>
      <c r="C3" s="5">
        <v>8</v>
      </c>
      <c r="D3" s="5">
        <v>1</v>
      </c>
    </row>
    <row r="4" spans="1:5" x14ac:dyDescent="0.3">
      <c r="A4" s="5">
        <v>2</v>
      </c>
      <c r="B4" s="5">
        <v>10</v>
      </c>
      <c r="C4" s="5">
        <v>7</v>
      </c>
      <c r="D4" s="5">
        <v>0</v>
      </c>
    </row>
    <row r="5" spans="1:5" x14ac:dyDescent="0.3">
      <c r="A5" s="5">
        <v>3</v>
      </c>
      <c r="B5" s="5">
        <v>10</v>
      </c>
      <c r="C5" s="5">
        <v>10</v>
      </c>
      <c r="D5" s="5">
        <v>0</v>
      </c>
    </row>
    <row r="6" spans="1:5" x14ac:dyDescent="0.3">
      <c r="A6" s="5">
        <v>4</v>
      </c>
      <c r="B6" s="5">
        <v>10</v>
      </c>
      <c r="C6" s="5">
        <v>6</v>
      </c>
      <c r="D6" s="5">
        <v>0</v>
      </c>
    </row>
    <row r="7" spans="1:5" x14ac:dyDescent="0.3">
      <c r="A7" s="5">
        <v>5</v>
      </c>
      <c r="B7" s="5">
        <v>10</v>
      </c>
      <c r="C7" s="5">
        <v>5</v>
      </c>
      <c r="D7" s="5">
        <v>1</v>
      </c>
    </row>
    <row r="8" spans="1:5" x14ac:dyDescent="0.3">
      <c r="A8" s="5">
        <v>6</v>
      </c>
      <c r="B8" s="5">
        <v>10</v>
      </c>
      <c r="C8" s="5">
        <v>4</v>
      </c>
      <c r="D8" s="5">
        <v>0</v>
      </c>
    </row>
    <row r="9" spans="1:5" x14ac:dyDescent="0.3">
      <c r="A9" s="5">
        <v>7</v>
      </c>
      <c r="B9" s="5">
        <v>10</v>
      </c>
      <c r="C9" s="5">
        <v>8</v>
      </c>
      <c r="D9" s="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CCFD9-EAD7-4F33-8090-EC31D987227D}">
  <sheetPr codeName="Feuil1">
    <tabColor rgb="FFFF5B5B"/>
  </sheetPr>
  <dimension ref="B2:AE52"/>
  <sheetViews>
    <sheetView zoomScale="85" zoomScaleNormal="85" workbookViewId="0">
      <selection activeCell="E28" sqref="E28"/>
    </sheetView>
  </sheetViews>
  <sheetFormatPr baseColWidth="10" defaultColWidth="9.109375" defaultRowHeight="14.4" x14ac:dyDescent="0.3"/>
  <cols>
    <col min="1" max="1" width="3.109375" customWidth="1"/>
    <col min="2" max="2" width="5.33203125" customWidth="1"/>
    <col min="3" max="3" width="12.5546875" customWidth="1"/>
    <col min="4" max="4" width="21.44140625" customWidth="1"/>
    <col min="5" max="5" width="12.109375" customWidth="1"/>
    <col min="6" max="6" width="13.5546875" customWidth="1"/>
    <col min="7" max="7" width="12.33203125" customWidth="1"/>
    <col min="8" max="47" width="6.6640625" customWidth="1"/>
  </cols>
  <sheetData>
    <row r="2" spans="2:31" x14ac:dyDescent="0.3">
      <c r="C2" t="s">
        <v>11</v>
      </c>
      <c r="D2" t="s">
        <v>12</v>
      </c>
      <c r="E2" t="s">
        <v>1</v>
      </c>
      <c r="F2" t="s">
        <v>2</v>
      </c>
      <c r="H2">
        <v>0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  <c r="S2">
        <v>11</v>
      </c>
      <c r="T2">
        <v>12</v>
      </c>
      <c r="U2">
        <v>13</v>
      </c>
      <c r="V2">
        <v>14</v>
      </c>
      <c r="W2">
        <v>15</v>
      </c>
      <c r="X2">
        <v>16</v>
      </c>
      <c r="Y2">
        <v>17</v>
      </c>
      <c r="Z2">
        <v>18</v>
      </c>
      <c r="AA2">
        <v>19</v>
      </c>
      <c r="AB2">
        <v>20</v>
      </c>
    </row>
    <row r="3" spans="2:31" x14ac:dyDescent="0.3">
      <c r="B3">
        <v>0</v>
      </c>
      <c r="C3" t="s">
        <v>13</v>
      </c>
      <c r="D3" t="s">
        <v>14</v>
      </c>
      <c r="E3">
        <v>45.777715999999998</v>
      </c>
      <c r="F3">
        <v>4.9501759999999999</v>
      </c>
      <c r="G3">
        <v>0</v>
      </c>
      <c r="H3" s="4">
        <f>SQRT(($E$3-E3)*($E$3-E3)+($F$3-F3)*($F$3-F3))</f>
        <v>0</v>
      </c>
      <c r="I3" s="3">
        <f>SQRT(($E$4-E3)*($E$4-E3)+($F$4-F3)*($F$4-F3))</f>
        <v>0.14545035678196189</v>
      </c>
      <c r="J3" s="3">
        <f>SQRT(($E$5-E3)*($E$5-E3)+($F$5-F3)*($F$5-F3))</f>
        <v>6.7331945939501633E-2</v>
      </c>
      <c r="K3" s="3">
        <f>SQRT(($E$6-E3)*($E$6-E3)+($F$6-F3)*($F$6-F3))</f>
        <v>2.5357125408846423E-2</v>
      </c>
      <c r="L3" s="3">
        <f>SQRT(($E$7-E3)*($E$7-E3)+($F$7-F3)*($F$7-F3))</f>
        <v>4.2796281952992628E-2</v>
      </c>
      <c r="M3" s="3">
        <f>SQRT(($E$8-E3)*($E$8-E3)+($F$8-F3)*($F$8-F3))</f>
        <v>5.829845566565181E-2</v>
      </c>
      <c r="N3" s="3">
        <f>SQRT(($E$9-E3)*($E$9-E3)+($F$9-F3)*($F$9-F3))</f>
        <v>0.11474877048578699</v>
      </c>
      <c r="O3" s="3">
        <f>SQRT(($E$10-E3)*($E$10-E3)+($F$10-F3)*($F$10-F3))</f>
        <v>0.11003821213560296</v>
      </c>
      <c r="P3" s="3">
        <f>SQRT(($E$11-E3)*($E$11-E3)+($F$11-F3)*($F$11-F3))</f>
        <v>0.11124153154735006</v>
      </c>
      <c r="Q3" s="3">
        <f>SQRT(($E$12-E3)*($E$12-E3)+($F$12-F3)*($F$12-F3))</f>
        <v>0.10966321134272848</v>
      </c>
      <c r="R3" s="3">
        <f>SQRT(($E$13-E3)*($E$13-E3)+($F$13-F3)*($F$13-F3))</f>
        <v>0.12929629710475127</v>
      </c>
      <c r="S3" s="3">
        <f>SQRT(($E$14-E3)*($E$14-E3)+($F$14-F3)*($F$14-F3))</f>
        <v>9.2154587346479674E-2</v>
      </c>
      <c r="T3" s="3">
        <f>SQRT(($E$15-E3)*($E$15-E3)+($F$15-F3)*($F$15-F3))</f>
        <v>0.14494762842144013</v>
      </c>
      <c r="U3" s="3">
        <f>SQRT(($E$16-E3)*($E$16-E3)+($F$16-F3)*($F$16-F3))</f>
        <v>0.12273719361301991</v>
      </c>
      <c r="V3" s="3">
        <f>SQRT(($E$17-E3)*($E$17-E3)+($F$17-F3)*($F$17-F3))</f>
        <v>0.20695564923190402</v>
      </c>
      <c r="W3" s="3">
        <f>SQRT(($E$18-E3)*($E$18-E3)+($F$18-F3)*($F$18-F3))</f>
        <v>7.735257875468679E-2</v>
      </c>
      <c r="X3" s="3">
        <f>SQRT(($E$19-E3)*($E$19-E3)+($F$19-F3)*($F$19-F3))</f>
        <v>0.13775803397624375</v>
      </c>
      <c r="Y3" s="3">
        <f>SQRT(($E$20-E3)*($E$20-E3)+($F$20-F3)*($F$20-F3))</f>
        <v>9.4066014293154226E-2</v>
      </c>
      <c r="Z3" s="3">
        <f>SQRT(($E$21-E3)*($E$21-E3)+($F$21-F3)*($F$21-F3))</f>
        <v>7.14608481617722E-2</v>
      </c>
      <c r="AA3" s="3">
        <f>SQRT(($E$22-E3)*($E$22-E3)+($F$22-F3)*($F$22-F3))</f>
        <v>3.4866031850496422E-2</v>
      </c>
      <c r="AB3" s="3">
        <f>SQRT(($E$23-E3)*($E$23-E3)+($F$23-F3)*($F$23-F3))</f>
        <v>0.16917811421694029</v>
      </c>
      <c r="AC3" s="3"/>
      <c r="AD3" s="3"/>
      <c r="AE3" s="3"/>
    </row>
    <row r="4" spans="2:31" x14ac:dyDescent="0.3">
      <c r="B4">
        <v>1</v>
      </c>
      <c r="C4" s="1" t="s">
        <v>15</v>
      </c>
      <c r="D4" t="s">
        <v>16</v>
      </c>
      <c r="E4">
        <v>45.778543999999997</v>
      </c>
      <c r="F4">
        <v>4.8047279999999999</v>
      </c>
      <c r="G4">
        <v>1</v>
      </c>
      <c r="H4" s="3">
        <f t="shared" ref="H4:H23" si="0">SQRT(($E$3-E4)*($E$3-E4)+($F$3-F4)*($F$3-F4))</f>
        <v>0.14545035678196189</v>
      </c>
      <c r="I4" s="4">
        <f t="shared" ref="I4:I23" si="1">SQRT(($E$4-E4)*($E$4-E4)+($F$4-F4)*($F$4-F4))</f>
        <v>0</v>
      </c>
      <c r="J4" s="3">
        <f t="shared" ref="J4:J23" si="2">SQRT(($E$5-E4)*($E$5-E4)+($F$5-F4)*($F$5-F4))</f>
        <v>7.9551837188087018E-2</v>
      </c>
      <c r="K4" s="3">
        <f t="shared" ref="K4:K23" si="3">SQRT(($E$6-E4)*($E$6-E4)+($F$6-F4)*($F$6-F4))</f>
        <v>0.12308296555169573</v>
      </c>
      <c r="L4" s="3">
        <f t="shared" ref="L4:L23" si="4">SQRT(($E$7-E4)*($E$7-E4)+($F$7-F4)*($F$7-F4))</f>
        <v>0.18824589834841074</v>
      </c>
      <c r="M4" s="3">
        <f t="shared" ref="M4:M23" si="5">SQRT(($E$8-E4)*($E$8-E4)+($F$8-F4)*($F$8-F4))</f>
        <v>0.18612643100054269</v>
      </c>
      <c r="N4" s="3">
        <f t="shared" ref="N4:N23" si="6">SQRT(($E$9-E4)*($E$9-E4)+($F$9-F4)*($F$9-F4))</f>
        <v>4.5893069193504249E-2</v>
      </c>
      <c r="O4" s="3">
        <f t="shared" ref="O4:O23" si="7">SQRT(($E$10-E4)*($E$10-E4)+($F$10-F4)*($F$10-F4))</f>
        <v>4.6982613741679148E-2</v>
      </c>
      <c r="P4" s="3">
        <f t="shared" ref="P4:P23" si="8">SQRT(($E$11-E4)*($E$11-E4)+($F$11-F4)*($F$11-F4))</f>
        <v>4.265243070447395E-2</v>
      </c>
      <c r="Q4" s="3">
        <f t="shared" ref="Q4:Q23" si="9">SQRT(($E$12-E4)*($E$12-E4)+($F$12-F4)*($F$12-F4))</f>
        <v>4.2671786018397544E-2</v>
      </c>
      <c r="R4" s="3">
        <f t="shared" ref="R4:R23" si="10">SQRT(($E$13-E4)*($E$13-E4)+($F$13-F4)*($F$13-F4))</f>
        <v>5.6657970357222316E-2</v>
      </c>
      <c r="S4" s="3">
        <f t="shared" ref="S4:S23" si="11">SQRT(($E$14-E4)*($E$14-E4)+($F$14-F4)*($F$14-F4))</f>
        <v>6.5510139436578907E-2</v>
      </c>
      <c r="T4" s="3">
        <f t="shared" ref="T4:T23" si="12">SQRT(($E$15-E4)*($E$15-E4)+($F$15-F4)*($F$15-F4))</f>
        <v>7.1484382210316149E-3</v>
      </c>
      <c r="U4" s="3">
        <f t="shared" ref="U4:U23" si="13">SQRT(($E$16-E4)*($E$16-E4)+($F$16-F4)*($F$16-F4))</f>
        <v>2.6475994410031085E-2</v>
      </c>
      <c r="V4" s="3">
        <f t="shared" ref="V4:V23" si="14">SQRT(($E$17-E4)*($E$17-E4)+($F$17-F4)*($F$17-F4))</f>
        <v>0.10718119997928098</v>
      </c>
      <c r="W4" s="3">
        <f t="shared" ref="W4:W23" si="15">SQRT(($E$18-E4)*($E$18-E4)+($F$18-F4)*($F$18-F4))</f>
        <v>6.8104770699268902E-2</v>
      </c>
      <c r="X4" s="3">
        <f t="shared" ref="X4:X23" si="16">SQRT(($E$19-E4)*($E$19-E4)+($F$19-F4)*($F$19-F4))</f>
        <v>1.2676826298408527E-2</v>
      </c>
      <c r="Y4" s="3">
        <f t="shared" ref="Y4:Y23" si="17">SQRT(($E$20-E4)*($E$20-E4)+($F$20-F4)*($F$20-F4))</f>
        <v>5.7424279577542356E-2</v>
      </c>
      <c r="Z4" s="3">
        <f t="shared" ref="Z4:Z23" si="18">SQRT(($E$21-E4)*($E$21-E4)+($F$21-F4)*($F$21-F4))</f>
        <v>7.5087428215380739E-2</v>
      </c>
      <c r="AA4" s="3">
        <f t="shared" ref="AA4:AA23" si="19">SQRT(($E$22-E4)*($E$22-E4)+($F$22-F4)*($F$22-F4))</f>
        <v>0.11618467675644562</v>
      </c>
      <c r="AB4" s="3">
        <f t="shared" ref="AB4:AB23" si="20">SQRT(($E$23-E4)*($E$23-E4)+($F$23-F4)*($F$23-F4))</f>
        <v>3.3504913818726015E-2</v>
      </c>
    </row>
    <row r="5" spans="2:31" x14ac:dyDescent="0.3">
      <c r="B5">
        <v>2</v>
      </c>
      <c r="C5" s="1" t="s">
        <v>17</v>
      </c>
      <c r="D5" t="s">
        <v>18</v>
      </c>
      <c r="E5">
        <v>45.767896</v>
      </c>
      <c r="F5">
        <v>4.8835639999999998</v>
      </c>
      <c r="G5">
        <v>2</v>
      </c>
      <c r="H5" s="3">
        <f t="shared" si="0"/>
        <v>6.7331945939501633E-2</v>
      </c>
      <c r="I5" s="3">
        <f t="shared" si="1"/>
        <v>7.9551837188087018E-2</v>
      </c>
      <c r="J5" s="4">
        <f t="shared" si="2"/>
        <v>0</v>
      </c>
      <c r="K5" s="3">
        <f t="shared" si="3"/>
        <v>4.3704068380415191E-2</v>
      </c>
      <c r="L5" s="3">
        <f t="shared" si="4"/>
        <v>0.10979871640870917</v>
      </c>
      <c r="M5" s="3">
        <f t="shared" si="5"/>
        <v>0.10766949089226781</v>
      </c>
      <c r="N5" s="3">
        <f t="shared" si="6"/>
        <v>4.8440441368756817E-2</v>
      </c>
      <c r="O5" s="3">
        <f t="shared" si="7"/>
        <v>4.344335311644381E-2</v>
      </c>
      <c r="P5" s="3">
        <f t="shared" si="8"/>
        <v>4.41101417476761E-2</v>
      </c>
      <c r="Q5" s="3">
        <f t="shared" si="9"/>
        <v>4.2421729927007983E-2</v>
      </c>
      <c r="R5" s="3">
        <f t="shared" si="10"/>
        <v>6.6077421416095183E-2</v>
      </c>
      <c r="S5" s="3">
        <f t="shared" si="11"/>
        <v>2.8518225628536037E-2</v>
      </c>
      <c r="T5" s="3">
        <f t="shared" si="12"/>
        <v>7.8278543579961751E-2</v>
      </c>
      <c r="U5" s="3">
        <f t="shared" si="13"/>
        <v>5.5592773990870092E-2</v>
      </c>
      <c r="V5" s="3">
        <f t="shared" si="14"/>
        <v>0.14586177107453274</v>
      </c>
      <c r="W5" s="3">
        <f t="shared" si="15"/>
        <v>1.5347983841536074E-2</v>
      </c>
      <c r="X5" s="3">
        <f t="shared" si="16"/>
        <v>7.3622331700373606E-2</v>
      </c>
      <c r="Y5" s="3">
        <f t="shared" si="17"/>
        <v>2.7268998899849184E-2</v>
      </c>
      <c r="Z5" s="3">
        <f t="shared" si="18"/>
        <v>4.5192888821141862E-3</v>
      </c>
      <c r="AA5" s="3">
        <f t="shared" si="19"/>
        <v>3.6670812058092792E-2</v>
      </c>
      <c r="AB5" s="3">
        <f t="shared" si="20"/>
        <v>0.10681985557938198</v>
      </c>
    </row>
    <row r="6" spans="2:31" x14ac:dyDescent="0.3">
      <c r="B6">
        <v>3</v>
      </c>
      <c r="C6" s="1" t="s">
        <v>19</v>
      </c>
      <c r="D6" t="s">
        <v>20</v>
      </c>
      <c r="E6">
        <v>45.766869</v>
      </c>
      <c r="F6">
        <v>4.9272559999999999</v>
      </c>
      <c r="G6">
        <v>3</v>
      </c>
      <c r="H6" s="3">
        <f t="shared" si="0"/>
        <v>2.5357125408846423E-2</v>
      </c>
      <c r="I6" s="3">
        <f t="shared" si="1"/>
        <v>0.12308296555169573</v>
      </c>
      <c r="J6" s="3">
        <f t="shared" si="2"/>
        <v>4.3704068380415191E-2</v>
      </c>
      <c r="K6" s="4">
        <f t="shared" si="3"/>
        <v>0</v>
      </c>
      <c r="L6" s="3">
        <f t="shared" si="4"/>
        <v>6.6517958913364802E-2</v>
      </c>
      <c r="M6" s="3">
        <f t="shared" si="5"/>
        <v>6.7810835491093124E-2</v>
      </c>
      <c r="N6" s="3">
        <f t="shared" si="6"/>
        <v>8.9932952964972376E-2</v>
      </c>
      <c r="O6" s="3">
        <f t="shared" si="7"/>
        <v>8.5355304937654738E-2</v>
      </c>
      <c r="P6" s="3">
        <f t="shared" si="8"/>
        <v>8.6876319132431476E-2</v>
      </c>
      <c r="Q6" s="3">
        <f t="shared" si="9"/>
        <v>8.5436385439694146E-2</v>
      </c>
      <c r="R6" s="3">
        <f t="shared" si="10"/>
        <v>0.10397714521951548</v>
      </c>
      <c r="S6" s="3">
        <f t="shared" si="11"/>
        <v>6.7036940935576828E-2</v>
      </c>
      <c r="T6" s="3">
        <f t="shared" si="12"/>
        <v>0.1219760792368732</v>
      </c>
      <c r="U6" s="3">
        <f t="shared" si="13"/>
        <v>9.9254441820000816E-2</v>
      </c>
      <c r="V6" s="3">
        <f t="shared" si="14"/>
        <v>0.18165724884517906</v>
      </c>
      <c r="W6" s="3">
        <f t="shared" si="15"/>
        <v>5.5731030647208336E-2</v>
      </c>
      <c r="X6" s="3">
        <f t="shared" si="16"/>
        <v>0.11642016922337743</v>
      </c>
      <c r="Y6" s="3">
        <f t="shared" si="17"/>
        <v>6.9602348293717739E-2</v>
      </c>
      <c r="Z6" s="3">
        <f t="shared" si="18"/>
        <v>4.8083088347151394E-2</v>
      </c>
      <c r="AA6" s="3">
        <f t="shared" si="19"/>
        <v>9.6644379039838475E-3</v>
      </c>
      <c r="AB6" s="3">
        <f t="shared" si="20"/>
        <v>0.14891796269422988</v>
      </c>
    </row>
    <row r="7" spans="2:31" x14ac:dyDescent="0.3">
      <c r="B7">
        <v>4</v>
      </c>
      <c r="C7" t="s">
        <v>21</v>
      </c>
      <c r="D7" t="s">
        <v>22</v>
      </c>
      <c r="E7">
        <v>45.777186</v>
      </c>
      <c r="F7">
        <v>4.9929690000000004</v>
      </c>
      <c r="G7">
        <v>4</v>
      </c>
      <c r="H7" s="3">
        <f t="shared" si="0"/>
        <v>4.2796281952992628E-2</v>
      </c>
      <c r="I7" s="3">
        <f t="shared" si="1"/>
        <v>0.18824589834841074</v>
      </c>
      <c r="J7" s="3">
        <f t="shared" si="2"/>
        <v>0.10979871640870917</v>
      </c>
      <c r="K7" s="3">
        <f t="shared" si="3"/>
        <v>6.6517958913364802E-2</v>
      </c>
      <c r="L7" s="4">
        <f t="shared" si="4"/>
        <v>0</v>
      </c>
      <c r="M7" s="3">
        <f t="shared" si="5"/>
        <v>4.7276624075754496E-2</v>
      </c>
      <c r="N7" s="3">
        <f t="shared" si="6"/>
        <v>0.15639905340186719</v>
      </c>
      <c r="O7" s="3">
        <f t="shared" si="7"/>
        <v>0.1518631123907325</v>
      </c>
      <c r="P7" s="3">
        <f t="shared" si="8"/>
        <v>0.15337467013819572</v>
      </c>
      <c r="Q7" s="3">
        <f t="shared" si="9"/>
        <v>0.15189880626588273</v>
      </c>
      <c r="R7" s="3">
        <f t="shared" si="10"/>
        <v>0.16946721708342452</v>
      </c>
      <c r="S7" s="3">
        <f t="shared" si="11"/>
        <v>0.1332946597129839</v>
      </c>
      <c r="T7" s="3">
        <f t="shared" si="12"/>
        <v>0.1876924651124815</v>
      </c>
      <c r="U7" s="3">
        <f t="shared" si="13"/>
        <v>0.16534657209933362</v>
      </c>
      <c r="V7" s="3">
        <f t="shared" si="14"/>
        <v>0.24505228522909059</v>
      </c>
      <c r="W7" s="3">
        <f t="shared" si="15"/>
        <v>0.12014877399707477</v>
      </c>
      <c r="X7" s="3">
        <f t="shared" si="16"/>
        <v>0.18048639084429619</v>
      </c>
      <c r="Y7" s="3">
        <f t="shared" si="17"/>
        <v>0.13611027127296513</v>
      </c>
      <c r="Z7" s="3">
        <f t="shared" si="18"/>
        <v>0.11402311755516942</v>
      </c>
      <c r="AA7" s="3">
        <f t="shared" si="19"/>
        <v>7.5153370130686722E-2</v>
      </c>
      <c r="AB7" s="3">
        <f t="shared" si="20"/>
        <v>0.21161935223651018</v>
      </c>
    </row>
    <row r="8" spans="2:31" x14ac:dyDescent="0.3">
      <c r="B8">
        <v>5</v>
      </c>
      <c r="C8" t="s">
        <v>23</v>
      </c>
      <c r="D8" t="s">
        <v>24</v>
      </c>
      <c r="E8">
        <v>45.730657999999998</v>
      </c>
      <c r="F8">
        <v>4.9845889999999997</v>
      </c>
      <c r="G8">
        <v>5</v>
      </c>
      <c r="H8" s="3">
        <f t="shared" si="0"/>
        <v>5.829845566565181E-2</v>
      </c>
      <c r="I8" s="3">
        <f t="shared" si="1"/>
        <v>0.18612643100054269</v>
      </c>
      <c r="J8" s="3">
        <f t="shared" si="2"/>
        <v>0.10766949089226781</v>
      </c>
      <c r="K8" s="3">
        <f t="shared" si="3"/>
        <v>6.7810835491093124E-2</v>
      </c>
      <c r="L8" s="3">
        <f t="shared" si="4"/>
        <v>4.7276624075754496E-2</v>
      </c>
      <c r="M8" s="4">
        <f t="shared" si="5"/>
        <v>0</v>
      </c>
      <c r="N8" s="3">
        <f t="shared" si="6"/>
        <v>0.14639956931972165</v>
      </c>
      <c r="O8" s="3">
        <f t="shared" si="7"/>
        <v>0.14287734283993409</v>
      </c>
      <c r="P8" s="3">
        <f t="shared" si="8"/>
        <v>0.14579742949723071</v>
      </c>
      <c r="Q8" s="3">
        <f t="shared" si="9"/>
        <v>0.14497892658245182</v>
      </c>
      <c r="R8" s="3">
        <f t="shared" si="10"/>
        <v>0.15387452169218926</v>
      </c>
      <c r="S8" s="3">
        <f t="shared" si="11"/>
        <v>0.12302014802462156</v>
      </c>
      <c r="T8" s="3">
        <f t="shared" si="12"/>
        <v>0.18380181971895782</v>
      </c>
      <c r="U8" s="3">
        <f t="shared" si="13"/>
        <v>0.16050654152712832</v>
      </c>
      <c r="V8" s="3">
        <f t="shared" si="14"/>
        <v>0.22192972959925694</v>
      </c>
      <c r="W8" s="3">
        <f t="shared" si="15"/>
        <v>0.1217120830032927</v>
      </c>
      <c r="X8" s="3">
        <f t="shared" si="16"/>
        <v>0.18117737523211824</v>
      </c>
      <c r="Y8" s="3">
        <f t="shared" si="17"/>
        <v>0.12920660256349217</v>
      </c>
      <c r="Z8" s="3">
        <f t="shared" si="18"/>
        <v>0.11217893948955035</v>
      </c>
      <c r="AA8" s="3">
        <f t="shared" si="19"/>
        <v>7.1739981892946461E-2</v>
      </c>
      <c r="AB8" s="3">
        <f t="shared" si="20"/>
        <v>0.21448791574585344</v>
      </c>
    </row>
    <row r="9" spans="2:31" x14ac:dyDescent="0.3">
      <c r="B9">
        <v>6</v>
      </c>
      <c r="C9" s="1" t="s">
        <v>25</v>
      </c>
      <c r="D9" t="s">
        <v>26</v>
      </c>
      <c r="E9">
        <v>45.748314000000001</v>
      </c>
      <c r="F9">
        <v>4.8392580000000001</v>
      </c>
      <c r="G9">
        <v>6</v>
      </c>
      <c r="H9" s="3">
        <f t="shared" si="0"/>
        <v>0.11474877048578699</v>
      </c>
      <c r="I9" s="3">
        <f t="shared" si="1"/>
        <v>4.5893069193504249E-2</v>
      </c>
      <c r="J9" s="3">
        <f t="shared" si="2"/>
        <v>4.8440441368756817E-2</v>
      </c>
      <c r="K9" s="3">
        <f t="shared" si="3"/>
        <v>8.9932952964972376E-2</v>
      </c>
      <c r="L9" s="3">
        <f t="shared" si="4"/>
        <v>0.15639905340186719</v>
      </c>
      <c r="M9" s="3">
        <f t="shared" si="5"/>
        <v>0.14639956931972165</v>
      </c>
      <c r="N9" s="4">
        <f t="shared" si="6"/>
        <v>0</v>
      </c>
      <c r="O9" s="3">
        <f t="shared" si="7"/>
        <v>5.2260954832447533E-3</v>
      </c>
      <c r="P9" s="3">
        <f t="shared" si="8"/>
        <v>8.0557944983687211E-3</v>
      </c>
      <c r="Q9" s="3">
        <f t="shared" si="9"/>
        <v>1.0364373690675688E-2</v>
      </c>
      <c r="R9" s="3">
        <f t="shared" si="10"/>
        <v>2.1839185538845701E-2</v>
      </c>
      <c r="S9" s="3">
        <f t="shared" si="11"/>
        <v>2.3583002120171569E-2</v>
      </c>
      <c r="T9" s="3">
        <f t="shared" si="12"/>
        <v>4.1022037357987449E-2</v>
      </c>
      <c r="U9" s="3">
        <f t="shared" si="13"/>
        <v>2.0902893579595176E-2</v>
      </c>
      <c r="V9" s="3">
        <f t="shared" si="14"/>
        <v>9.9698490705725382E-2</v>
      </c>
      <c r="W9" s="3">
        <f t="shared" si="15"/>
        <v>4.5395598817507835E-2</v>
      </c>
      <c r="X9" s="3">
        <f t="shared" si="16"/>
        <v>4.7931448392467227E-2</v>
      </c>
      <c r="Y9" s="3">
        <f t="shared" si="17"/>
        <v>2.1209184449195805E-2</v>
      </c>
      <c r="Z9" s="3">
        <f t="shared" si="18"/>
        <v>4.5084072974833418E-2</v>
      </c>
      <c r="AA9" s="3">
        <f t="shared" si="19"/>
        <v>8.1317170222530696E-2</v>
      </c>
      <c r="AB9" s="3">
        <f t="shared" si="20"/>
        <v>7.9183726674109792E-2</v>
      </c>
    </row>
    <row r="10" spans="2:31" x14ac:dyDescent="0.3">
      <c r="B10">
        <v>7</v>
      </c>
      <c r="C10" t="s">
        <v>27</v>
      </c>
      <c r="D10" t="s">
        <v>28</v>
      </c>
      <c r="E10">
        <v>45.751669</v>
      </c>
      <c r="F10">
        <v>4.8432649999999997</v>
      </c>
      <c r="G10">
        <v>7</v>
      </c>
      <c r="H10" s="3">
        <f t="shared" si="0"/>
        <v>0.11003821213560296</v>
      </c>
      <c r="I10" s="3">
        <f t="shared" si="1"/>
        <v>4.6982613741679148E-2</v>
      </c>
      <c r="J10" s="3">
        <f t="shared" si="2"/>
        <v>4.344335311644381E-2</v>
      </c>
      <c r="K10" s="3">
        <f t="shared" si="3"/>
        <v>8.5355304937654738E-2</v>
      </c>
      <c r="L10" s="3">
        <f t="shared" si="4"/>
        <v>0.1518631123907325</v>
      </c>
      <c r="M10" s="3">
        <f t="shared" si="5"/>
        <v>0.14287734283993409</v>
      </c>
      <c r="N10" s="3">
        <f t="shared" si="6"/>
        <v>5.2260954832447533E-3</v>
      </c>
      <c r="O10" s="4">
        <f t="shared" si="7"/>
        <v>0</v>
      </c>
      <c r="P10" s="3">
        <f t="shared" si="8"/>
        <v>5.0204757742647078E-3</v>
      </c>
      <c r="Q10" s="3">
        <f t="shared" si="9"/>
        <v>6.6429225496005559E-3</v>
      </c>
      <c r="R10" s="3">
        <f t="shared" si="10"/>
        <v>2.6598710589051115E-2</v>
      </c>
      <c r="S10" s="3">
        <f t="shared" si="11"/>
        <v>1.986310652944405E-2</v>
      </c>
      <c r="T10" s="3">
        <f t="shared" si="12"/>
        <v>4.2739560421231629E-2</v>
      </c>
      <c r="U10" s="3">
        <f t="shared" si="13"/>
        <v>2.0885717655850764E-2</v>
      </c>
      <c r="V10" s="3">
        <f t="shared" si="14"/>
        <v>0.10490284625785617</v>
      </c>
      <c r="W10" s="3">
        <f t="shared" si="15"/>
        <v>4.0174532853540126E-2</v>
      </c>
      <c r="X10" s="3">
        <f t="shared" si="16"/>
        <v>4.7626434267114867E-2</v>
      </c>
      <c r="Y10" s="3">
        <f t="shared" si="17"/>
        <v>1.6174430592760441E-2</v>
      </c>
      <c r="Z10" s="3">
        <f t="shared" si="18"/>
        <v>3.9995279346444701E-2</v>
      </c>
      <c r="AA10" s="3">
        <f t="shared" si="19"/>
        <v>7.6882968263459278E-2</v>
      </c>
      <c r="AB10" s="3">
        <f t="shared" si="20"/>
        <v>7.9832964745148782E-2</v>
      </c>
    </row>
    <row r="11" spans="2:31" x14ac:dyDescent="0.3">
      <c r="B11">
        <v>8</v>
      </c>
      <c r="D11" t="s">
        <v>29</v>
      </c>
      <c r="E11">
        <v>45.756169999999997</v>
      </c>
      <c r="F11">
        <v>4.8410409999999997</v>
      </c>
      <c r="G11">
        <v>8</v>
      </c>
      <c r="H11" s="3">
        <f t="shared" si="0"/>
        <v>0.11124153154735006</v>
      </c>
      <c r="I11" s="3">
        <f t="shared" si="1"/>
        <v>4.265243070447395E-2</v>
      </c>
      <c r="J11" s="3">
        <f t="shared" si="2"/>
        <v>4.41101417476761E-2</v>
      </c>
      <c r="K11" s="3">
        <f t="shared" si="3"/>
        <v>8.6876319132431476E-2</v>
      </c>
      <c r="L11" s="3">
        <f t="shared" si="4"/>
        <v>0.15337467013819572</v>
      </c>
      <c r="M11" s="3">
        <f t="shared" si="5"/>
        <v>0.14579742949723071</v>
      </c>
      <c r="N11" s="3">
        <f t="shared" si="6"/>
        <v>8.0557944983687211E-3</v>
      </c>
      <c r="O11" s="3">
        <f t="shared" si="7"/>
        <v>5.0204757742647078E-3</v>
      </c>
      <c r="P11" s="4">
        <f t="shared" si="8"/>
        <v>0</v>
      </c>
      <c r="Q11" s="3">
        <f t="shared" si="9"/>
        <v>2.3964308878012871E-3</v>
      </c>
      <c r="R11" s="3">
        <f t="shared" si="10"/>
        <v>2.9802074055340286E-2</v>
      </c>
      <c r="S11" s="3">
        <f t="shared" si="11"/>
        <v>2.317571910427009E-2</v>
      </c>
      <c r="T11" s="3">
        <f t="shared" si="12"/>
        <v>3.8800276957776346E-2</v>
      </c>
      <c r="U11" s="3">
        <f t="shared" si="13"/>
        <v>1.6284005189141457E-2</v>
      </c>
      <c r="V11" s="3">
        <f t="shared" si="14"/>
        <v>0.10662189568751348</v>
      </c>
      <c r="W11" s="3">
        <f t="shared" si="15"/>
        <v>3.9062346127700202E-2</v>
      </c>
      <c r="X11" s="3">
        <f t="shared" si="16"/>
        <v>4.2759221695442329E-2</v>
      </c>
      <c r="Y11" s="3">
        <f t="shared" si="17"/>
        <v>1.7285088891874748E-2</v>
      </c>
      <c r="Z11" s="3">
        <f t="shared" si="18"/>
        <v>4.0339149334116912E-2</v>
      </c>
      <c r="AA11" s="3">
        <f t="shared" si="19"/>
        <v>7.8687193684868942E-2</v>
      </c>
      <c r="AB11" s="3">
        <f t="shared" si="20"/>
        <v>7.5224389349468138E-2</v>
      </c>
    </row>
    <row r="12" spans="2:31" x14ac:dyDescent="0.3">
      <c r="B12">
        <v>9</v>
      </c>
      <c r="D12" t="s">
        <v>30</v>
      </c>
      <c r="E12">
        <v>45.758234999999999</v>
      </c>
      <c r="F12">
        <v>4.842257</v>
      </c>
      <c r="G12">
        <v>9</v>
      </c>
      <c r="H12" s="3">
        <f t="shared" si="0"/>
        <v>0.10966321134272848</v>
      </c>
      <c r="I12" s="3">
        <f t="shared" si="1"/>
        <v>4.2671786018397544E-2</v>
      </c>
      <c r="J12" s="3">
        <f t="shared" si="2"/>
        <v>4.2421729927007983E-2</v>
      </c>
      <c r="K12" s="3">
        <f t="shared" si="3"/>
        <v>8.5436385439694146E-2</v>
      </c>
      <c r="L12" s="3">
        <f t="shared" si="4"/>
        <v>0.15189880626588273</v>
      </c>
      <c r="M12" s="3">
        <f t="shared" si="5"/>
        <v>0.14497892658245182</v>
      </c>
      <c r="N12" s="3">
        <f t="shared" si="6"/>
        <v>1.0364373690675688E-2</v>
      </c>
      <c r="O12" s="3">
        <f t="shared" si="7"/>
        <v>6.6429225496005559E-3</v>
      </c>
      <c r="P12" s="3">
        <f t="shared" si="8"/>
        <v>2.3964308878012871E-3</v>
      </c>
      <c r="Q12" s="4">
        <f t="shared" si="9"/>
        <v>0</v>
      </c>
      <c r="R12" s="3">
        <f t="shared" si="10"/>
        <v>3.2163027111888877E-2</v>
      </c>
      <c r="S12" s="3">
        <f t="shared" si="11"/>
        <v>2.2854448516646583E-2</v>
      </c>
      <c r="T12" s="3">
        <f t="shared" si="12"/>
        <v>3.9178685340374851E-2</v>
      </c>
      <c r="U12" s="3">
        <f t="shared" si="13"/>
        <v>1.6195802727866464E-2</v>
      </c>
      <c r="V12" s="3">
        <f t="shared" si="14"/>
        <v>0.10896780211144627</v>
      </c>
      <c r="W12" s="3">
        <f t="shared" si="15"/>
        <v>3.6885651871698559E-2</v>
      </c>
      <c r="X12" s="3">
        <f t="shared" si="16"/>
        <v>4.2071683981032872E-2</v>
      </c>
      <c r="Y12" s="3">
        <f t="shared" si="17"/>
        <v>1.6004441664737457E-2</v>
      </c>
      <c r="Z12" s="3">
        <f t="shared" si="18"/>
        <v>3.8554235383419275E-2</v>
      </c>
      <c r="AA12" s="3">
        <f t="shared" si="19"/>
        <v>7.7372313995382053E-2</v>
      </c>
      <c r="AB12" s="3">
        <f t="shared" si="20"/>
        <v>7.488297355207145E-2</v>
      </c>
    </row>
    <row r="13" spans="2:31" x14ac:dyDescent="0.3">
      <c r="B13">
        <v>10</v>
      </c>
      <c r="D13" t="s">
        <v>31</v>
      </c>
      <c r="E13">
        <v>45.728206999999998</v>
      </c>
      <c r="F13">
        <v>4.8307339999999996</v>
      </c>
      <c r="G13">
        <v>10</v>
      </c>
      <c r="H13" s="3">
        <f t="shared" si="0"/>
        <v>0.12929629710475127</v>
      </c>
      <c r="I13" s="3">
        <f t="shared" si="1"/>
        <v>5.6657970357222316E-2</v>
      </c>
      <c r="J13" s="3">
        <f t="shared" si="2"/>
        <v>6.6077421416095183E-2</v>
      </c>
      <c r="K13" s="3">
        <f t="shared" si="3"/>
        <v>0.10397714521951548</v>
      </c>
      <c r="L13" s="3">
        <f t="shared" si="4"/>
        <v>0.16946721708342452</v>
      </c>
      <c r="M13" s="3">
        <f t="shared" si="5"/>
        <v>0.15387452169218926</v>
      </c>
      <c r="N13" s="3">
        <f t="shared" si="6"/>
        <v>2.1839185538845701E-2</v>
      </c>
      <c r="O13" s="3">
        <f t="shared" si="7"/>
        <v>2.6598710589051115E-2</v>
      </c>
      <c r="P13" s="3">
        <f t="shared" si="8"/>
        <v>2.9802074055340286E-2</v>
      </c>
      <c r="Q13" s="3">
        <f t="shared" si="9"/>
        <v>3.2163027111888877E-2</v>
      </c>
      <c r="R13" s="4">
        <f t="shared" si="10"/>
        <v>0</v>
      </c>
      <c r="S13" s="3">
        <f t="shared" si="11"/>
        <v>3.7878078858358727E-2</v>
      </c>
      <c r="T13" s="3">
        <f t="shared" si="12"/>
        <v>5.011282520473638E-2</v>
      </c>
      <c r="U13" s="3">
        <f t="shared" si="13"/>
        <v>3.7821511246907837E-2</v>
      </c>
      <c r="V13" s="3">
        <f t="shared" si="14"/>
        <v>7.9820813839495311E-2</v>
      </c>
      <c r="W13" s="3">
        <f t="shared" si="15"/>
        <v>6.5869405075501791E-2</v>
      </c>
      <c r="X13" s="3">
        <f t="shared" si="16"/>
        <v>6.2702954970240199E-2</v>
      </c>
      <c r="Y13" s="3">
        <f t="shared" si="17"/>
        <v>4.0372787865098639E-2</v>
      </c>
      <c r="Z13" s="3">
        <f t="shared" si="18"/>
        <v>6.3479409299397827E-2</v>
      </c>
      <c r="AA13" s="3">
        <f t="shared" si="19"/>
        <v>9.4703726515910691E-2</v>
      </c>
      <c r="AB13" s="3">
        <f t="shared" si="20"/>
        <v>8.9625678379583795E-2</v>
      </c>
    </row>
    <row r="14" spans="2:31" x14ac:dyDescent="0.3">
      <c r="B14">
        <v>11</v>
      </c>
      <c r="D14" t="s">
        <v>32</v>
      </c>
      <c r="E14">
        <v>45.748303999999997</v>
      </c>
      <c r="F14">
        <v>4.8628410000000004</v>
      </c>
      <c r="G14">
        <v>11</v>
      </c>
      <c r="H14" s="3">
        <f t="shared" si="0"/>
        <v>9.2154587346479674E-2</v>
      </c>
      <c r="I14" s="3">
        <f t="shared" si="1"/>
        <v>6.5510139436578907E-2</v>
      </c>
      <c r="J14" s="3">
        <f t="shared" si="2"/>
        <v>2.8518225628536037E-2</v>
      </c>
      <c r="K14" s="3">
        <f t="shared" si="3"/>
        <v>6.7036940935576828E-2</v>
      </c>
      <c r="L14" s="3">
        <f t="shared" si="4"/>
        <v>0.1332946597129839</v>
      </c>
      <c r="M14" s="3">
        <f t="shared" si="5"/>
        <v>0.12302014802462156</v>
      </c>
      <c r="N14" s="3">
        <f t="shared" si="6"/>
        <v>2.3583002120171569E-2</v>
      </c>
      <c r="O14" s="3">
        <f t="shared" si="7"/>
        <v>1.986310652944405E-2</v>
      </c>
      <c r="P14" s="3">
        <f t="shared" si="8"/>
        <v>2.317571910427009E-2</v>
      </c>
      <c r="Q14" s="3">
        <f t="shared" si="9"/>
        <v>2.2854448516646583E-2</v>
      </c>
      <c r="R14" s="3">
        <f t="shared" si="10"/>
        <v>3.7878078858358727E-2</v>
      </c>
      <c r="S14" s="4">
        <f t="shared" si="11"/>
        <v>0</v>
      </c>
      <c r="T14" s="3">
        <f t="shared" si="12"/>
        <v>6.1951795583342885E-2</v>
      </c>
      <c r="U14" s="3">
        <f t="shared" si="13"/>
        <v>3.9040403443099933E-2</v>
      </c>
      <c r="V14" s="3">
        <f t="shared" si="14"/>
        <v>0.11748210684184732</v>
      </c>
      <c r="W14" s="3">
        <f t="shared" si="15"/>
        <v>3.2155531048333137E-2</v>
      </c>
      <c r="X14" s="3">
        <f t="shared" si="16"/>
        <v>6.4039989787632187E-2</v>
      </c>
      <c r="Y14" s="3">
        <f t="shared" si="17"/>
        <v>1.0498134024677565E-2</v>
      </c>
      <c r="Z14" s="3">
        <f t="shared" si="18"/>
        <v>2.653156092279934E-2</v>
      </c>
      <c r="AA14" s="3">
        <f t="shared" si="19"/>
        <v>5.8141434192837758E-2</v>
      </c>
      <c r="AB14" s="3">
        <f t="shared" si="20"/>
        <v>9.735269278761903E-2</v>
      </c>
    </row>
    <row r="15" spans="2:31" x14ac:dyDescent="0.3">
      <c r="B15">
        <v>12</v>
      </c>
      <c r="D15" t="s">
        <v>33</v>
      </c>
      <c r="E15">
        <v>45.771424000000003</v>
      </c>
      <c r="F15">
        <v>4.8053650000000001</v>
      </c>
      <c r="G15">
        <v>12</v>
      </c>
      <c r="H15" s="3">
        <f t="shared" si="0"/>
        <v>0.14494762842144013</v>
      </c>
      <c r="I15" s="3">
        <f t="shared" si="1"/>
        <v>7.1484382210316149E-3</v>
      </c>
      <c r="J15" s="3">
        <f t="shared" si="2"/>
        <v>7.8278543579961751E-2</v>
      </c>
      <c r="K15" s="3">
        <f t="shared" si="3"/>
        <v>0.1219760792368732</v>
      </c>
      <c r="L15" s="3">
        <f t="shared" si="4"/>
        <v>0.1876924651124815</v>
      </c>
      <c r="M15" s="3">
        <f t="shared" si="5"/>
        <v>0.18380181971895782</v>
      </c>
      <c r="N15" s="3">
        <f t="shared" si="6"/>
        <v>4.1022037357987449E-2</v>
      </c>
      <c r="O15" s="3">
        <f t="shared" si="7"/>
        <v>4.2739560421231629E-2</v>
      </c>
      <c r="P15" s="3">
        <f t="shared" si="8"/>
        <v>3.8800276957776346E-2</v>
      </c>
      <c r="Q15" s="3">
        <f t="shared" si="9"/>
        <v>3.9178685340374851E-2</v>
      </c>
      <c r="R15" s="3">
        <f t="shared" si="10"/>
        <v>5.011282520473638E-2</v>
      </c>
      <c r="S15" s="3">
        <f t="shared" si="11"/>
        <v>6.1951795583342885E-2</v>
      </c>
      <c r="T15" s="4">
        <f t="shared" si="12"/>
        <v>0</v>
      </c>
      <c r="U15" s="3">
        <f t="shared" si="13"/>
        <v>2.3298045347197489E-2</v>
      </c>
      <c r="V15" s="3">
        <f t="shared" si="14"/>
        <v>0.10072051582473147</v>
      </c>
      <c r="W15" s="3">
        <f t="shared" si="15"/>
        <v>6.7876426136030135E-2</v>
      </c>
      <c r="X15" s="3">
        <f t="shared" si="16"/>
        <v>1.844948443723584E-2</v>
      </c>
      <c r="Y15" s="3">
        <f t="shared" si="17"/>
        <v>5.4628807876430763E-2</v>
      </c>
      <c r="Z15" s="3">
        <f t="shared" si="18"/>
        <v>7.3897383478713496E-2</v>
      </c>
      <c r="AA15" s="3">
        <f t="shared" si="19"/>
        <v>0.11468996710261949</v>
      </c>
      <c r="AB15" s="3">
        <f t="shared" si="20"/>
        <v>3.9563747357902135E-2</v>
      </c>
    </row>
    <row r="16" spans="2:31" x14ac:dyDescent="0.3">
      <c r="B16">
        <v>13</v>
      </c>
      <c r="D16" t="s">
        <v>34</v>
      </c>
      <c r="E16">
        <v>45.765929999999997</v>
      </c>
      <c r="F16">
        <v>4.8280060000000002</v>
      </c>
      <c r="G16">
        <v>13</v>
      </c>
      <c r="H16" s="3">
        <f t="shared" si="0"/>
        <v>0.12273719361301991</v>
      </c>
      <c r="I16" s="3">
        <f t="shared" si="1"/>
        <v>2.6475994410031085E-2</v>
      </c>
      <c r="J16" s="3">
        <f t="shared" si="2"/>
        <v>5.5592773990870092E-2</v>
      </c>
      <c r="K16" s="3">
        <f t="shared" si="3"/>
        <v>9.9254441820000816E-2</v>
      </c>
      <c r="L16" s="3">
        <f t="shared" si="4"/>
        <v>0.16534657209933362</v>
      </c>
      <c r="M16" s="3">
        <f t="shared" si="5"/>
        <v>0.16050654152712832</v>
      </c>
      <c r="N16" s="3">
        <f t="shared" si="6"/>
        <v>2.0902893579595176E-2</v>
      </c>
      <c r="O16" s="3">
        <f t="shared" si="7"/>
        <v>2.0885717655850764E-2</v>
      </c>
      <c r="P16" s="3">
        <f t="shared" si="8"/>
        <v>1.6284005189141457E-2</v>
      </c>
      <c r="Q16" s="3">
        <f t="shared" si="9"/>
        <v>1.6195802727866464E-2</v>
      </c>
      <c r="R16" s="3">
        <f t="shared" si="10"/>
        <v>3.7821511246907837E-2</v>
      </c>
      <c r="S16" s="3">
        <f t="shared" si="11"/>
        <v>3.9040403443099933E-2</v>
      </c>
      <c r="T16" s="3">
        <f t="shared" si="12"/>
        <v>2.3298045347197489E-2</v>
      </c>
      <c r="U16" s="4">
        <f t="shared" si="13"/>
        <v>0</v>
      </c>
      <c r="V16" s="3">
        <f t="shared" si="14"/>
        <v>0.10628004697495651</v>
      </c>
      <c r="W16" s="3">
        <f t="shared" si="15"/>
        <v>4.6655783349978212E-2</v>
      </c>
      <c r="X16" s="3">
        <f t="shared" si="16"/>
        <v>2.7033131246676008E-2</v>
      </c>
      <c r="Y16" s="3">
        <f t="shared" si="17"/>
        <v>3.1335331384874286E-2</v>
      </c>
      <c r="Z16" s="3">
        <f t="shared" si="18"/>
        <v>5.1324369299583644E-2</v>
      </c>
      <c r="AA16" s="3">
        <f t="shared" si="19"/>
        <v>9.1706771642010548E-2</v>
      </c>
      <c r="AB16" s="3">
        <f t="shared" si="20"/>
        <v>5.8964542718487604E-2</v>
      </c>
    </row>
    <row r="17" spans="2:28" x14ac:dyDescent="0.3">
      <c r="B17">
        <v>14</v>
      </c>
      <c r="D17" t="s">
        <v>35</v>
      </c>
      <c r="E17">
        <v>45.677446000000003</v>
      </c>
      <c r="F17">
        <v>4.7691330000000001</v>
      </c>
      <c r="G17">
        <v>14</v>
      </c>
      <c r="H17" s="3">
        <f t="shared" si="0"/>
        <v>0.20695564923190402</v>
      </c>
      <c r="I17" s="3">
        <f t="shared" si="1"/>
        <v>0.10718119997928098</v>
      </c>
      <c r="J17" s="3">
        <f t="shared" si="2"/>
        <v>0.14586177107453274</v>
      </c>
      <c r="K17" s="3">
        <f t="shared" si="3"/>
        <v>0.18165724884517906</v>
      </c>
      <c r="L17" s="3">
        <f t="shared" si="4"/>
        <v>0.24505228522909059</v>
      </c>
      <c r="M17" s="3">
        <f t="shared" si="5"/>
        <v>0.22192972959925694</v>
      </c>
      <c r="N17" s="3">
        <f t="shared" si="6"/>
        <v>9.9698490705725382E-2</v>
      </c>
      <c r="O17" s="3">
        <f t="shared" si="7"/>
        <v>0.10490284625785617</v>
      </c>
      <c r="P17" s="3">
        <f t="shared" si="8"/>
        <v>0.10662189568751348</v>
      </c>
      <c r="Q17" s="3">
        <f t="shared" si="9"/>
        <v>0.10896780211144627</v>
      </c>
      <c r="R17" s="3">
        <f t="shared" si="10"/>
        <v>7.9820813839495311E-2</v>
      </c>
      <c r="S17" s="3">
        <f t="shared" si="11"/>
        <v>0.11748210684184732</v>
      </c>
      <c r="T17" s="3">
        <f t="shared" si="12"/>
        <v>0.10072051582473147</v>
      </c>
      <c r="U17" s="3">
        <f t="shared" si="13"/>
        <v>0.10628004697495651</v>
      </c>
      <c r="V17" s="4">
        <f t="shared" si="14"/>
        <v>0</v>
      </c>
      <c r="W17" s="3">
        <f t="shared" si="15"/>
        <v>0.14505138636014425</v>
      </c>
      <c r="X17" s="3">
        <f t="shared" si="16"/>
        <v>0.11915182234443045</v>
      </c>
      <c r="Y17" s="3">
        <f t="shared" si="17"/>
        <v>0.1199616740546734</v>
      </c>
      <c r="Z17" s="3">
        <f t="shared" si="18"/>
        <v>0.1432975966337186</v>
      </c>
      <c r="AA17" s="3">
        <f t="shared" si="19"/>
        <v>0.17209029435154072</v>
      </c>
      <c r="AB17" s="3">
        <f t="shared" si="20"/>
        <v>0.12742535468657579</v>
      </c>
    </row>
    <row r="18" spans="2:28" x14ac:dyDescent="0.3">
      <c r="B18">
        <v>15</v>
      </c>
      <c r="D18" t="s">
        <v>36</v>
      </c>
      <c r="E18">
        <v>45.778868000000003</v>
      </c>
      <c r="F18">
        <v>4.8728319999999998</v>
      </c>
      <c r="G18">
        <v>15</v>
      </c>
      <c r="H18" s="3">
        <f t="shared" si="0"/>
        <v>7.735257875468679E-2</v>
      </c>
      <c r="I18" s="3">
        <f t="shared" si="1"/>
        <v>6.8104770699268902E-2</v>
      </c>
      <c r="J18" s="3">
        <f t="shared" si="2"/>
        <v>1.5347983841536074E-2</v>
      </c>
      <c r="K18" s="3">
        <f t="shared" si="3"/>
        <v>5.5731030647208336E-2</v>
      </c>
      <c r="L18" s="3">
        <f t="shared" si="4"/>
        <v>0.12014877399707477</v>
      </c>
      <c r="M18" s="3">
        <f t="shared" si="5"/>
        <v>0.1217120830032927</v>
      </c>
      <c r="N18" s="3">
        <f t="shared" si="6"/>
        <v>4.5395598817507835E-2</v>
      </c>
      <c r="O18" s="3">
        <f t="shared" si="7"/>
        <v>4.0174532853540126E-2</v>
      </c>
      <c r="P18" s="3">
        <f t="shared" si="8"/>
        <v>3.9062346127700202E-2</v>
      </c>
      <c r="Q18" s="3">
        <f t="shared" si="9"/>
        <v>3.6885651871698559E-2</v>
      </c>
      <c r="R18" s="3">
        <f t="shared" si="10"/>
        <v>6.5869405075501791E-2</v>
      </c>
      <c r="S18" s="3">
        <f t="shared" si="11"/>
        <v>3.2155531048333137E-2</v>
      </c>
      <c r="T18" s="3">
        <f t="shared" si="12"/>
        <v>6.7876426136030135E-2</v>
      </c>
      <c r="U18" s="3">
        <f t="shared" si="13"/>
        <v>4.6655783349978212E-2</v>
      </c>
      <c r="V18" s="3">
        <f t="shared" si="14"/>
        <v>0.14505138636014425</v>
      </c>
      <c r="W18" s="4">
        <f t="shared" si="15"/>
        <v>0</v>
      </c>
      <c r="X18" s="3">
        <f t="shared" si="16"/>
        <v>6.0743435439558936E-2</v>
      </c>
      <c r="Y18" s="3">
        <f t="shared" si="17"/>
        <v>2.5663490117286095E-2</v>
      </c>
      <c r="Z18" s="3">
        <f t="shared" si="18"/>
        <v>1.1617229445957007E-2</v>
      </c>
      <c r="AA18" s="3">
        <f t="shared" si="19"/>
        <v>5.0047458926502794E-2</v>
      </c>
      <c r="AB18" s="3">
        <f t="shared" si="20"/>
        <v>9.3243784189617068E-2</v>
      </c>
    </row>
    <row r="19" spans="2:28" x14ac:dyDescent="0.3">
      <c r="B19">
        <v>16</v>
      </c>
      <c r="D19" t="s">
        <v>37</v>
      </c>
      <c r="E19">
        <v>45.788297999999998</v>
      </c>
      <c r="F19">
        <v>4.8128250000000001</v>
      </c>
      <c r="G19">
        <v>16</v>
      </c>
      <c r="H19" s="3">
        <f t="shared" si="0"/>
        <v>0.13775803397624375</v>
      </c>
      <c r="I19" s="3">
        <f t="shared" si="1"/>
        <v>1.2676826298408527E-2</v>
      </c>
      <c r="J19" s="3">
        <f t="shared" si="2"/>
        <v>7.3622331700373606E-2</v>
      </c>
      <c r="K19" s="3">
        <f t="shared" si="3"/>
        <v>0.11642016922337743</v>
      </c>
      <c r="L19" s="3">
        <f t="shared" si="4"/>
        <v>0.18048639084429619</v>
      </c>
      <c r="M19" s="3">
        <f t="shared" si="5"/>
        <v>0.18117737523211824</v>
      </c>
      <c r="N19" s="3">
        <f t="shared" si="6"/>
        <v>4.7931448392467227E-2</v>
      </c>
      <c r="O19" s="3">
        <f t="shared" si="7"/>
        <v>4.7626434267114867E-2</v>
      </c>
      <c r="P19" s="3">
        <f t="shared" si="8"/>
        <v>4.2759221695442329E-2</v>
      </c>
      <c r="Q19" s="3">
        <f t="shared" si="9"/>
        <v>4.2071683981032872E-2</v>
      </c>
      <c r="R19" s="3">
        <f t="shared" si="10"/>
        <v>6.2702954970240199E-2</v>
      </c>
      <c r="S19" s="3">
        <f t="shared" si="11"/>
        <v>6.4039989787632187E-2</v>
      </c>
      <c r="T19" s="3">
        <f t="shared" si="12"/>
        <v>1.844948443723584E-2</v>
      </c>
      <c r="U19" s="3">
        <f t="shared" si="13"/>
        <v>2.7033131246676008E-2</v>
      </c>
      <c r="V19" s="3">
        <f t="shared" si="14"/>
        <v>0.11915182234443045</v>
      </c>
      <c r="W19" s="3">
        <f t="shared" si="15"/>
        <v>6.0743435439558936E-2</v>
      </c>
      <c r="X19" s="4">
        <f t="shared" si="16"/>
        <v>0</v>
      </c>
      <c r="Y19" s="3">
        <f t="shared" si="17"/>
        <v>5.4746302541812654E-2</v>
      </c>
      <c r="Z19" s="3">
        <f t="shared" si="18"/>
        <v>6.9103102629330865E-2</v>
      </c>
      <c r="AA19" s="3">
        <f t="shared" si="19"/>
        <v>0.11019062857611632</v>
      </c>
      <c r="AB19" s="3">
        <f t="shared" si="20"/>
        <v>3.3694866330052906E-2</v>
      </c>
    </row>
    <row r="20" spans="2:28" x14ac:dyDescent="0.3">
      <c r="B20">
        <v>17</v>
      </c>
      <c r="D20" t="s">
        <v>38</v>
      </c>
      <c r="E20">
        <v>45.757747000000002</v>
      </c>
      <c r="F20">
        <v>4.8582539999999996</v>
      </c>
      <c r="G20">
        <v>17</v>
      </c>
      <c r="H20" s="3">
        <f t="shared" si="0"/>
        <v>9.4066014293154226E-2</v>
      </c>
      <c r="I20" s="3">
        <f t="shared" si="1"/>
        <v>5.7424279577542356E-2</v>
      </c>
      <c r="J20" s="3">
        <f t="shared" si="2"/>
        <v>2.7268998899849184E-2</v>
      </c>
      <c r="K20" s="3">
        <f t="shared" si="3"/>
        <v>6.9602348293717739E-2</v>
      </c>
      <c r="L20" s="3">
        <f t="shared" si="4"/>
        <v>0.13611027127296513</v>
      </c>
      <c r="M20" s="3">
        <f t="shared" si="5"/>
        <v>0.12920660256349217</v>
      </c>
      <c r="N20" s="3">
        <f t="shared" si="6"/>
        <v>2.1209184449195805E-2</v>
      </c>
      <c r="O20" s="3">
        <f t="shared" si="7"/>
        <v>1.6174430592760441E-2</v>
      </c>
      <c r="P20" s="3">
        <f t="shared" si="8"/>
        <v>1.7285088891874748E-2</v>
      </c>
      <c r="Q20" s="3">
        <f t="shared" si="9"/>
        <v>1.6004441664737457E-2</v>
      </c>
      <c r="R20" s="3">
        <f t="shared" si="10"/>
        <v>4.0372787865098639E-2</v>
      </c>
      <c r="S20" s="3">
        <f t="shared" si="11"/>
        <v>1.0498134024677565E-2</v>
      </c>
      <c r="T20" s="3">
        <f t="shared" si="12"/>
        <v>5.4628807876430763E-2</v>
      </c>
      <c r="U20" s="3">
        <f t="shared" si="13"/>
        <v>3.1335331384874286E-2</v>
      </c>
      <c r="V20" s="3">
        <f t="shared" si="14"/>
        <v>0.1199616740546734</v>
      </c>
      <c r="W20" s="3">
        <f t="shared" si="15"/>
        <v>2.5663490117286095E-2</v>
      </c>
      <c r="X20" s="3">
        <f t="shared" si="16"/>
        <v>5.4746302541812654E-2</v>
      </c>
      <c r="Y20" s="4">
        <f t="shared" si="17"/>
        <v>0</v>
      </c>
      <c r="Z20" s="3">
        <f t="shared" si="18"/>
        <v>2.3882914499701334E-2</v>
      </c>
      <c r="AA20" s="3">
        <f t="shared" si="19"/>
        <v>6.14120572526278E-2</v>
      </c>
      <c r="AB20" s="3">
        <f t="shared" si="20"/>
        <v>8.8329122179493583E-2</v>
      </c>
    </row>
    <row r="21" spans="2:28" x14ac:dyDescent="0.3">
      <c r="B21">
        <v>18</v>
      </c>
      <c r="D21" t="s">
        <v>39</v>
      </c>
      <c r="E21">
        <v>45.769170000000003</v>
      </c>
      <c r="F21">
        <v>4.8792280000000003</v>
      </c>
      <c r="G21">
        <v>18</v>
      </c>
      <c r="H21" s="3">
        <f t="shared" si="0"/>
        <v>7.14608481617722E-2</v>
      </c>
      <c r="I21" s="3">
        <f t="shared" si="1"/>
        <v>7.5087428215380739E-2</v>
      </c>
      <c r="J21" s="3">
        <f t="shared" si="2"/>
        <v>4.5192888821141862E-3</v>
      </c>
      <c r="K21" s="3">
        <f t="shared" si="3"/>
        <v>4.8083088347151394E-2</v>
      </c>
      <c r="L21" s="3">
        <f t="shared" si="4"/>
        <v>0.11402311755516942</v>
      </c>
      <c r="M21" s="3">
        <f t="shared" si="5"/>
        <v>0.11217893948955035</v>
      </c>
      <c r="N21" s="3">
        <f t="shared" si="6"/>
        <v>4.5084072974833418E-2</v>
      </c>
      <c r="O21" s="3">
        <f t="shared" si="7"/>
        <v>3.9995279346444701E-2</v>
      </c>
      <c r="P21" s="3">
        <f t="shared" si="8"/>
        <v>4.0339149334116912E-2</v>
      </c>
      <c r="Q21" s="3">
        <f t="shared" si="9"/>
        <v>3.8554235383419275E-2</v>
      </c>
      <c r="R21" s="3">
        <f t="shared" si="10"/>
        <v>6.3479409299397827E-2</v>
      </c>
      <c r="S21" s="3">
        <f t="shared" si="11"/>
        <v>2.653156092279934E-2</v>
      </c>
      <c r="T21" s="3">
        <f t="shared" si="12"/>
        <v>7.3897383478713496E-2</v>
      </c>
      <c r="U21" s="3">
        <f t="shared" si="13"/>
        <v>5.1324369299583644E-2</v>
      </c>
      <c r="V21" s="3">
        <f t="shared" si="14"/>
        <v>0.1432975966337186</v>
      </c>
      <c r="W21" s="3">
        <f t="shared" si="15"/>
        <v>1.1617229445957007E-2</v>
      </c>
      <c r="X21" s="3">
        <f t="shared" si="16"/>
        <v>6.9103102629330865E-2</v>
      </c>
      <c r="Y21" s="3">
        <f t="shared" si="17"/>
        <v>2.3882914499701334E-2</v>
      </c>
      <c r="Z21" s="4">
        <f t="shared" si="18"/>
        <v>0</v>
      </c>
      <c r="AA21" s="3">
        <f t="shared" si="19"/>
        <v>4.1171371521968377E-2</v>
      </c>
      <c r="AB21" s="3">
        <f t="shared" si="20"/>
        <v>0.10230907706552715</v>
      </c>
    </row>
    <row r="22" spans="2:28" x14ac:dyDescent="0.3">
      <c r="B22">
        <v>19</v>
      </c>
      <c r="D22" t="s">
        <v>40</v>
      </c>
      <c r="E22">
        <v>45.760997000000003</v>
      </c>
      <c r="F22">
        <v>4.9195799999999998</v>
      </c>
      <c r="G22">
        <v>19</v>
      </c>
      <c r="H22" s="3">
        <f t="shared" si="0"/>
        <v>3.4866031850496422E-2</v>
      </c>
      <c r="I22" s="3">
        <f t="shared" si="1"/>
        <v>0.11618467675644562</v>
      </c>
      <c r="J22" s="3">
        <f t="shared" si="2"/>
        <v>3.6670812058092792E-2</v>
      </c>
      <c r="K22" s="3">
        <f t="shared" si="3"/>
        <v>9.6644379039838475E-3</v>
      </c>
      <c r="L22" s="3">
        <f t="shared" si="4"/>
        <v>7.5153370130686722E-2</v>
      </c>
      <c r="M22" s="3">
        <f t="shared" si="5"/>
        <v>7.1739981892946461E-2</v>
      </c>
      <c r="N22" s="3">
        <f t="shared" si="6"/>
        <v>8.1317170222530696E-2</v>
      </c>
      <c r="O22" s="3">
        <f t="shared" si="7"/>
        <v>7.6882968263459278E-2</v>
      </c>
      <c r="P22" s="3">
        <f t="shared" si="8"/>
        <v>7.8687193684868942E-2</v>
      </c>
      <c r="Q22" s="3">
        <f t="shared" si="9"/>
        <v>7.7372313995382053E-2</v>
      </c>
      <c r="R22" s="3">
        <f t="shared" si="10"/>
        <v>9.4703726515910691E-2</v>
      </c>
      <c r="S22" s="3">
        <f t="shared" si="11"/>
        <v>5.8141434192837758E-2</v>
      </c>
      <c r="T22" s="3">
        <f t="shared" si="12"/>
        <v>0.11468996710261949</v>
      </c>
      <c r="U22" s="3">
        <f t="shared" si="13"/>
        <v>9.1706771642010548E-2</v>
      </c>
      <c r="V22" s="3">
        <f t="shared" si="14"/>
        <v>0.17209029435154072</v>
      </c>
      <c r="W22" s="3">
        <f t="shared" si="15"/>
        <v>5.0047458926502794E-2</v>
      </c>
      <c r="X22" s="3">
        <f t="shared" si="16"/>
        <v>0.11019062857611632</v>
      </c>
      <c r="Y22" s="3">
        <f t="shared" si="17"/>
        <v>6.14120572526278E-2</v>
      </c>
      <c r="Z22" s="3">
        <f t="shared" si="18"/>
        <v>4.1171371521968377E-2</v>
      </c>
      <c r="AA22" s="4">
        <f t="shared" si="19"/>
        <v>0</v>
      </c>
      <c r="AB22" s="3">
        <f t="shared" si="20"/>
        <v>0.14315629647696176</v>
      </c>
    </row>
    <row r="23" spans="2:28" x14ac:dyDescent="0.3">
      <c r="B23">
        <v>20</v>
      </c>
      <c r="D23" t="s">
        <v>41</v>
      </c>
      <c r="E23">
        <v>45.804107000000002</v>
      </c>
      <c r="F23">
        <v>4.7830690000000002</v>
      </c>
      <c r="G23">
        <v>20</v>
      </c>
      <c r="H23" s="3">
        <f t="shared" si="0"/>
        <v>0.16917811421694029</v>
      </c>
      <c r="I23" s="3">
        <f t="shared" si="1"/>
        <v>3.3504913818726015E-2</v>
      </c>
      <c r="J23" s="3">
        <f t="shared" si="2"/>
        <v>0.10681985557938198</v>
      </c>
      <c r="K23" s="3">
        <f t="shared" si="3"/>
        <v>0.14891796269422988</v>
      </c>
      <c r="L23" s="3">
        <f t="shared" si="4"/>
        <v>0.21161935223651018</v>
      </c>
      <c r="M23" s="3">
        <f t="shared" si="5"/>
        <v>0.21448791574585344</v>
      </c>
      <c r="N23" s="3">
        <f t="shared" si="6"/>
        <v>7.9183726674109792E-2</v>
      </c>
      <c r="O23" s="3">
        <f t="shared" si="7"/>
        <v>7.9832964745148782E-2</v>
      </c>
      <c r="P23" s="3">
        <f t="shared" si="8"/>
        <v>7.5224389349468138E-2</v>
      </c>
      <c r="Q23" s="3">
        <f t="shared" si="9"/>
        <v>7.488297355207145E-2</v>
      </c>
      <c r="R23" s="3">
        <f t="shared" si="10"/>
        <v>8.9625678379583795E-2</v>
      </c>
      <c r="S23" s="3">
        <f t="shared" si="11"/>
        <v>9.735269278761903E-2</v>
      </c>
      <c r="T23" s="3">
        <f t="shared" si="12"/>
        <v>3.9563747357902135E-2</v>
      </c>
      <c r="U23" s="3">
        <f t="shared" si="13"/>
        <v>5.8964542718487604E-2</v>
      </c>
      <c r="V23" s="3">
        <f t="shared" si="14"/>
        <v>0.12742535468657579</v>
      </c>
      <c r="W23" s="3">
        <f t="shared" si="15"/>
        <v>9.3243784189617068E-2</v>
      </c>
      <c r="X23" s="3">
        <f t="shared" si="16"/>
        <v>3.3694866330052906E-2</v>
      </c>
      <c r="Y23" s="3">
        <f t="shared" si="17"/>
        <v>8.8329122179493583E-2</v>
      </c>
      <c r="Z23" s="3">
        <f t="shared" si="18"/>
        <v>0.10230907706552715</v>
      </c>
      <c r="AA23" s="3">
        <f t="shared" si="19"/>
        <v>0.14315629647696176</v>
      </c>
      <c r="AB23" s="4">
        <f t="shared" si="20"/>
        <v>0</v>
      </c>
    </row>
    <row r="24" spans="2:28" x14ac:dyDescent="0.3">
      <c r="B24">
        <v>21</v>
      </c>
      <c r="D24" t="s">
        <v>42</v>
      </c>
      <c r="E24">
        <v>45.749445999999999</v>
      </c>
      <c r="F24">
        <v>5.1861519999999999</v>
      </c>
    </row>
    <row r="26" spans="2:28" x14ac:dyDescent="0.3">
      <c r="E26">
        <f>MIN(E3:E24)</f>
        <v>45.677446000000003</v>
      </c>
    </row>
    <row r="27" spans="2:28" x14ac:dyDescent="0.3">
      <c r="C27" s="2"/>
      <c r="E27">
        <f>MAX(E3:E24)</f>
        <v>45.804107000000002</v>
      </c>
    </row>
    <row r="35" spans="3:3" x14ac:dyDescent="0.3">
      <c r="C35" s="2"/>
    </row>
    <row r="36" spans="3:3" x14ac:dyDescent="0.3">
      <c r="C36" s="2"/>
    </row>
    <row r="37" spans="3:3" x14ac:dyDescent="0.3">
      <c r="C37" s="2"/>
    </row>
    <row r="38" spans="3:3" x14ac:dyDescent="0.3">
      <c r="C38" s="2"/>
    </row>
    <row r="39" spans="3:3" x14ac:dyDescent="0.3">
      <c r="C39" s="2"/>
    </row>
    <row r="42" spans="3:3" x14ac:dyDescent="0.3">
      <c r="C42" s="2"/>
    </row>
    <row r="50" spans="3:3" x14ac:dyDescent="0.3">
      <c r="C50" s="2"/>
    </row>
    <row r="51" spans="3:3" x14ac:dyDescent="0.3">
      <c r="C51" s="2"/>
    </row>
    <row r="52" spans="3:3" x14ac:dyDescent="0.3">
      <c r="C52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FBE39-27E4-4398-92FC-C7CF7B5CED18}">
  <sheetPr codeName="Feuil4">
    <tabColor rgb="FFFF5B5B"/>
  </sheetPr>
  <dimension ref="A1:V22"/>
  <sheetViews>
    <sheetView workbookViewId="0">
      <selection activeCell="E28" sqref="E28"/>
    </sheetView>
  </sheetViews>
  <sheetFormatPr baseColWidth="10" defaultColWidth="9.109375" defaultRowHeight="14.4" x14ac:dyDescent="0.3"/>
  <cols>
    <col min="2" max="2" width="9.5546875" bestFit="1" customWidth="1"/>
  </cols>
  <sheetData>
    <row r="1" spans="1:22" x14ac:dyDescent="0.3">
      <c r="A1">
        <v>30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</row>
    <row r="2" spans="1:22" x14ac:dyDescent="0.3">
      <c r="A2">
        <v>0</v>
      </c>
      <c r="B2">
        <f>('Distance Travel'!B2/'Time travel'!$A$1)*60</f>
        <v>0</v>
      </c>
      <c r="C2">
        <f>('Distance Travel'!C2/'Time travel'!$A$1)*60</f>
        <v>0.29090071356392377</v>
      </c>
      <c r="D2">
        <f>('Distance Travel'!D2/'Time travel'!$A$1)*60</f>
        <v>0.13466389187900327</v>
      </c>
      <c r="E2">
        <f>('Distance Travel'!E2/'Time travel'!$A$1)*60</f>
        <v>5.0714250817692846E-2</v>
      </c>
      <c r="F2">
        <f>('Distance Travel'!F2/'Time travel'!$A$1)*60</f>
        <v>8.5592563905985256E-2</v>
      </c>
      <c r="G2">
        <f>('Distance Travel'!G2/'Time travel'!$A$1)*60</f>
        <v>0.11659691133130362</v>
      </c>
      <c r="H2">
        <f>('Distance Travel'!H2/'Time travel'!$A$1)*60</f>
        <v>0.22949754097157399</v>
      </c>
      <c r="I2">
        <f>('Distance Travel'!I2/'Time travel'!$A$1)*60</f>
        <v>0.22007642427120591</v>
      </c>
      <c r="J2">
        <f>('Distance Travel'!J2/'Time travel'!$A$1)*60</f>
        <v>0.22248306309470012</v>
      </c>
      <c r="K2">
        <f>('Distance Travel'!K2/'Time travel'!$A$1)*60</f>
        <v>0.21932642268545696</v>
      </c>
      <c r="L2">
        <f>('Distance Travel'!L2/'Time travel'!$A$1)*60</f>
        <v>0.25859259420950254</v>
      </c>
      <c r="M2">
        <f>('Distance Travel'!M2/'Time travel'!$A$1)*60</f>
        <v>0.18430917469295935</v>
      </c>
      <c r="N2">
        <f>('Distance Travel'!N2/'Time travel'!$A$1)*60</f>
        <v>0.28989525684288026</v>
      </c>
      <c r="O2">
        <f>('Distance Travel'!O2/'Time travel'!$A$1)*60</f>
        <v>0.24547438722603979</v>
      </c>
      <c r="P2">
        <f>('Distance Travel'!P2/'Time travel'!$A$1)*60</f>
        <v>0.41391129846380803</v>
      </c>
      <c r="Q2">
        <f>('Distance Travel'!Q2/'Time travel'!$A$1)*60</f>
        <v>0.15470515750937358</v>
      </c>
      <c r="R2">
        <f>('Distance Travel'!R2/'Time travel'!$A$1)*60</f>
        <v>0.27551606795248751</v>
      </c>
      <c r="S2">
        <f>('Distance Travel'!S2/'Time travel'!$A$1)*60</f>
        <v>0.18813202858630845</v>
      </c>
      <c r="T2">
        <f>('Distance Travel'!T2/'Time travel'!$A$1)*60</f>
        <v>0.1429216963235444</v>
      </c>
      <c r="U2">
        <f>('Distance Travel'!U2/'Time travel'!$A$1)*60</f>
        <v>6.9732063700992844E-2</v>
      </c>
      <c r="V2">
        <f>('Distance Travel'!V2/'Time travel'!$A$1)*60</f>
        <v>0.33835622843388058</v>
      </c>
    </row>
    <row r="3" spans="1:22" x14ac:dyDescent="0.3">
      <c r="A3">
        <v>1</v>
      </c>
      <c r="B3">
        <f>('Distance Travel'!B3/'Time travel'!$A$1)*60</f>
        <v>0.29090071356392377</v>
      </c>
      <c r="C3">
        <f>('Distance Travel'!C3/'Time travel'!$A$1)*60</f>
        <v>0</v>
      </c>
      <c r="D3">
        <f>('Distance Travel'!D3/'Time travel'!$A$1)*60</f>
        <v>0.15910367437617404</v>
      </c>
      <c r="E3">
        <f>('Distance Travel'!E3/'Time travel'!$A$1)*60</f>
        <v>0.24616593110339144</v>
      </c>
      <c r="F3">
        <f>('Distance Travel'!F3/'Time travel'!$A$1)*60</f>
        <v>0.37649179669682148</v>
      </c>
      <c r="G3">
        <f>('Distance Travel'!G3/'Time travel'!$A$1)*60</f>
        <v>0.37225286200108537</v>
      </c>
      <c r="H3">
        <f>('Distance Travel'!H3/'Time travel'!$A$1)*60</f>
        <v>9.1786138387008498E-2</v>
      </c>
      <c r="I3">
        <f>('Distance Travel'!I3/'Time travel'!$A$1)*60</f>
        <v>9.3965227483358296E-2</v>
      </c>
      <c r="J3">
        <f>('Distance Travel'!J3/'Time travel'!$A$1)*60</f>
        <v>8.5304861408947899E-2</v>
      </c>
      <c r="K3">
        <f>('Distance Travel'!K3/'Time travel'!$A$1)*60</f>
        <v>8.5343572036795087E-2</v>
      </c>
      <c r="L3">
        <f>('Distance Travel'!L3/'Time travel'!$A$1)*60</f>
        <v>0.11331594071444463</v>
      </c>
      <c r="M3">
        <f>('Distance Travel'!M3/'Time travel'!$A$1)*60</f>
        <v>0.13102027887315781</v>
      </c>
      <c r="N3">
        <f>('Distance Travel'!N3/'Time travel'!$A$1)*60</f>
        <v>1.429687644206323E-2</v>
      </c>
      <c r="O3">
        <f>('Distance Travel'!O3/'Time travel'!$A$1)*60</f>
        <v>5.2951988820062169E-2</v>
      </c>
      <c r="P3">
        <f>('Distance Travel'!P3/'Time travel'!$A$1)*60</f>
        <v>0.21436239995856196</v>
      </c>
      <c r="Q3">
        <f>('Distance Travel'!Q3/'Time travel'!$A$1)*60</f>
        <v>0.1362095413985378</v>
      </c>
      <c r="R3">
        <f>('Distance Travel'!R3/'Time travel'!$A$1)*60</f>
        <v>2.5353652596817055E-2</v>
      </c>
      <c r="S3">
        <f>('Distance Travel'!S3/'Time travel'!$A$1)*60</f>
        <v>0.11484855915508471</v>
      </c>
      <c r="T3">
        <f>('Distance Travel'!T3/'Time travel'!$A$1)*60</f>
        <v>0.15017485643076148</v>
      </c>
      <c r="U3">
        <f>('Distance Travel'!U3/'Time travel'!$A$1)*60</f>
        <v>0.23236935351289123</v>
      </c>
      <c r="V3">
        <f>('Distance Travel'!V3/'Time travel'!$A$1)*60</f>
        <v>6.700982763745203E-2</v>
      </c>
    </row>
    <row r="4" spans="1:22" x14ac:dyDescent="0.3">
      <c r="A4">
        <v>2</v>
      </c>
      <c r="B4">
        <f>('Distance Travel'!B4/'Time travel'!$A$1)*60</f>
        <v>0.13466389187900327</v>
      </c>
      <c r="C4">
        <f>('Distance Travel'!C4/'Time travel'!$A$1)*60</f>
        <v>0.15910367437617404</v>
      </c>
      <c r="D4">
        <f>('Distance Travel'!D4/'Time travel'!$A$1)*60</f>
        <v>0</v>
      </c>
      <c r="E4">
        <f>('Distance Travel'!E4/'Time travel'!$A$1)*60</f>
        <v>8.7408136760830382E-2</v>
      </c>
      <c r="F4">
        <f>('Distance Travel'!F4/'Time travel'!$A$1)*60</f>
        <v>0.21959743281741834</v>
      </c>
      <c r="G4">
        <f>('Distance Travel'!G4/'Time travel'!$A$1)*60</f>
        <v>0.21533898178453562</v>
      </c>
      <c r="H4">
        <f>('Distance Travel'!H4/'Time travel'!$A$1)*60</f>
        <v>9.6880882737513635E-2</v>
      </c>
      <c r="I4">
        <f>('Distance Travel'!I4/'Time travel'!$A$1)*60</f>
        <v>8.688670623288762E-2</v>
      </c>
      <c r="J4">
        <f>('Distance Travel'!J4/'Time travel'!$A$1)*60</f>
        <v>8.82202834953522E-2</v>
      </c>
      <c r="K4">
        <f>('Distance Travel'!K4/'Time travel'!$A$1)*60</f>
        <v>8.4843459854015965E-2</v>
      </c>
      <c r="L4">
        <f>('Distance Travel'!L4/'Time travel'!$A$1)*60</f>
        <v>0.13215484283219037</v>
      </c>
      <c r="M4">
        <f>('Distance Travel'!M4/'Time travel'!$A$1)*60</f>
        <v>5.7036451257072074E-2</v>
      </c>
      <c r="N4">
        <f>('Distance Travel'!N4/'Time travel'!$A$1)*60</f>
        <v>0.1565570871599235</v>
      </c>
      <c r="O4">
        <f>('Distance Travel'!O4/'Time travel'!$A$1)*60</f>
        <v>0.11118554798174018</v>
      </c>
      <c r="P4">
        <f>('Distance Travel'!P4/'Time travel'!$A$1)*60</f>
        <v>0.29172354214906548</v>
      </c>
      <c r="Q4">
        <f>('Distance Travel'!Q4/'Time travel'!$A$1)*60</f>
        <v>3.0695967683072145E-2</v>
      </c>
      <c r="R4">
        <f>('Distance Travel'!R4/'Time travel'!$A$1)*60</f>
        <v>0.14724466340074721</v>
      </c>
      <c r="S4">
        <f>('Distance Travel'!S4/'Time travel'!$A$1)*60</f>
        <v>5.4537997799698368E-2</v>
      </c>
      <c r="T4">
        <f>('Distance Travel'!T4/'Time travel'!$A$1)*60</f>
        <v>9.0385777642283723E-3</v>
      </c>
      <c r="U4">
        <f>('Distance Travel'!U4/'Time travel'!$A$1)*60</f>
        <v>7.3341624116185583E-2</v>
      </c>
      <c r="V4">
        <f>('Distance Travel'!V4/'Time travel'!$A$1)*60</f>
        <v>0.21363971115876396</v>
      </c>
    </row>
    <row r="5" spans="1:22" x14ac:dyDescent="0.3">
      <c r="A5">
        <v>3</v>
      </c>
      <c r="B5">
        <f>('Distance Travel'!B5/'Time travel'!$A$1)*60</f>
        <v>5.0714250817692846E-2</v>
      </c>
      <c r="C5">
        <f>('Distance Travel'!C5/'Time travel'!$A$1)*60</f>
        <v>0.24616593110339144</v>
      </c>
      <c r="D5">
        <f>('Distance Travel'!D5/'Time travel'!$A$1)*60</f>
        <v>8.7408136760830382E-2</v>
      </c>
      <c r="E5">
        <f>('Distance Travel'!E5/'Time travel'!$A$1)*60</f>
        <v>0</v>
      </c>
      <c r="F5">
        <f>('Distance Travel'!F5/'Time travel'!$A$1)*60</f>
        <v>0.1330359178267296</v>
      </c>
      <c r="G5">
        <f>('Distance Travel'!G5/'Time travel'!$A$1)*60</f>
        <v>0.13562167098218625</v>
      </c>
      <c r="H5">
        <f>('Distance Travel'!H5/'Time travel'!$A$1)*60</f>
        <v>0.17986590592994475</v>
      </c>
      <c r="I5">
        <f>('Distance Travel'!I5/'Time travel'!$A$1)*60</f>
        <v>0.17071060987530948</v>
      </c>
      <c r="J5">
        <f>('Distance Travel'!J5/'Time travel'!$A$1)*60</f>
        <v>0.17375263826486295</v>
      </c>
      <c r="K5">
        <f>('Distance Travel'!K5/'Time travel'!$A$1)*60</f>
        <v>0.17087277087938829</v>
      </c>
      <c r="L5">
        <f>('Distance Travel'!L5/'Time travel'!$A$1)*60</f>
        <v>0.20795429043903096</v>
      </c>
      <c r="M5">
        <f>('Distance Travel'!M5/'Time travel'!$A$1)*60</f>
        <v>0.13407388187115366</v>
      </c>
      <c r="N5">
        <f>('Distance Travel'!N5/'Time travel'!$A$1)*60</f>
        <v>0.24395215847374643</v>
      </c>
      <c r="O5">
        <f>('Distance Travel'!O5/'Time travel'!$A$1)*60</f>
        <v>0.19850888364000163</v>
      </c>
      <c r="P5">
        <f>('Distance Travel'!P5/'Time travel'!$A$1)*60</f>
        <v>0.36331449769035812</v>
      </c>
      <c r="Q5">
        <f>('Distance Travel'!Q5/'Time travel'!$A$1)*60</f>
        <v>0.11146206129441667</v>
      </c>
      <c r="R5">
        <f>('Distance Travel'!R5/'Time travel'!$A$1)*60</f>
        <v>0.23284033844675486</v>
      </c>
      <c r="S5">
        <f>('Distance Travel'!S5/'Time travel'!$A$1)*60</f>
        <v>0.13920469658743548</v>
      </c>
      <c r="T5">
        <f>('Distance Travel'!T5/'Time travel'!$A$1)*60</f>
        <v>9.6166176694302788E-2</v>
      </c>
      <c r="U5">
        <f>('Distance Travel'!U5/'Time travel'!$A$1)*60</f>
        <v>1.9328875807967695E-2</v>
      </c>
      <c r="V5">
        <f>('Distance Travel'!V5/'Time travel'!$A$1)*60</f>
        <v>0.29783592538845977</v>
      </c>
    </row>
    <row r="6" spans="1:22" x14ac:dyDescent="0.3">
      <c r="A6">
        <v>4</v>
      </c>
      <c r="B6">
        <f>('Distance Travel'!B6/'Time travel'!$A$1)*60</f>
        <v>8.5592563905985256E-2</v>
      </c>
      <c r="C6">
        <f>('Distance Travel'!C6/'Time travel'!$A$1)*60</f>
        <v>0.37649179669682148</v>
      </c>
      <c r="D6">
        <f>('Distance Travel'!D6/'Time travel'!$A$1)*60</f>
        <v>0.21959743281741834</v>
      </c>
      <c r="E6">
        <f>('Distance Travel'!E6/'Time travel'!$A$1)*60</f>
        <v>0.1330359178267296</v>
      </c>
      <c r="F6">
        <f>('Distance Travel'!F6/'Time travel'!$A$1)*60</f>
        <v>0</v>
      </c>
      <c r="G6">
        <f>('Distance Travel'!G6/'Time travel'!$A$1)*60</f>
        <v>9.4553248151508992E-2</v>
      </c>
      <c r="H6">
        <f>('Distance Travel'!H6/'Time travel'!$A$1)*60</f>
        <v>0.31279810680373438</v>
      </c>
      <c r="I6">
        <f>('Distance Travel'!I6/'Time travel'!$A$1)*60</f>
        <v>0.30372622478146499</v>
      </c>
      <c r="J6">
        <f>('Distance Travel'!J6/'Time travel'!$A$1)*60</f>
        <v>0.30674934027639145</v>
      </c>
      <c r="K6">
        <f>('Distance Travel'!K6/'Time travel'!$A$1)*60</f>
        <v>0.30379761253176546</v>
      </c>
      <c r="L6">
        <f>('Distance Travel'!L6/'Time travel'!$A$1)*60</f>
        <v>0.33893443416684904</v>
      </c>
      <c r="M6">
        <f>('Distance Travel'!M6/'Time travel'!$A$1)*60</f>
        <v>0.26658931942596781</v>
      </c>
      <c r="N6">
        <f>('Distance Travel'!N6/'Time travel'!$A$1)*60</f>
        <v>0.375384930224963</v>
      </c>
      <c r="O6">
        <f>('Distance Travel'!O6/'Time travel'!$A$1)*60</f>
        <v>0.33069314419866724</v>
      </c>
      <c r="P6">
        <f>('Distance Travel'!P6/'Time travel'!$A$1)*60</f>
        <v>0.49010457045818118</v>
      </c>
      <c r="Q6">
        <f>('Distance Travel'!Q6/'Time travel'!$A$1)*60</f>
        <v>0.24029754799414954</v>
      </c>
      <c r="R6">
        <f>('Distance Travel'!R6/'Time travel'!$A$1)*60</f>
        <v>0.36097278168859237</v>
      </c>
      <c r="S6">
        <f>('Distance Travel'!S6/'Time travel'!$A$1)*60</f>
        <v>0.27222054254593026</v>
      </c>
      <c r="T6">
        <f>('Distance Travel'!T6/'Time travel'!$A$1)*60</f>
        <v>0.22804623511033884</v>
      </c>
      <c r="U6">
        <f>('Distance Travel'!U6/'Time travel'!$A$1)*60</f>
        <v>0.15030674026137344</v>
      </c>
      <c r="V6">
        <f>('Distance Travel'!V6/'Time travel'!$A$1)*60</f>
        <v>0.42323870447302037</v>
      </c>
    </row>
    <row r="7" spans="1:22" x14ac:dyDescent="0.3">
      <c r="A7">
        <v>5</v>
      </c>
      <c r="B7">
        <f>('Distance Travel'!B7/'Time travel'!$A$1)*60</f>
        <v>0.11659691133130362</v>
      </c>
      <c r="C7">
        <f>('Distance Travel'!C7/'Time travel'!$A$1)*60</f>
        <v>0.37225286200108537</v>
      </c>
      <c r="D7">
        <f>('Distance Travel'!D7/'Time travel'!$A$1)*60</f>
        <v>0.21533898178453562</v>
      </c>
      <c r="E7">
        <f>('Distance Travel'!E7/'Time travel'!$A$1)*60</f>
        <v>0.13562167098218625</v>
      </c>
      <c r="F7">
        <f>('Distance Travel'!F7/'Time travel'!$A$1)*60</f>
        <v>9.4553248151508992E-2</v>
      </c>
      <c r="G7">
        <f>('Distance Travel'!G7/'Time travel'!$A$1)*60</f>
        <v>0</v>
      </c>
      <c r="H7">
        <f>('Distance Travel'!H7/'Time travel'!$A$1)*60</f>
        <v>0.29279913863944329</v>
      </c>
      <c r="I7">
        <f>('Distance Travel'!I7/'Time travel'!$A$1)*60</f>
        <v>0.28575468567986817</v>
      </c>
      <c r="J7">
        <f>('Distance Travel'!J7/'Time travel'!$A$1)*60</f>
        <v>0.29159485899446141</v>
      </c>
      <c r="K7">
        <f>('Distance Travel'!K7/'Time travel'!$A$1)*60</f>
        <v>0.28995785316490363</v>
      </c>
      <c r="L7">
        <f>('Distance Travel'!L7/'Time travel'!$A$1)*60</f>
        <v>0.30774904338437853</v>
      </c>
      <c r="M7">
        <f>('Distance Travel'!M7/'Time travel'!$A$1)*60</f>
        <v>0.24604029604924313</v>
      </c>
      <c r="N7">
        <f>('Distance Travel'!N7/'Time travel'!$A$1)*60</f>
        <v>0.36760363943791563</v>
      </c>
      <c r="O7">
        <f>('Distance Travel'!O7/'Time travel'!$A$1)*60</f>
        <v>0.32101308305425663</v>
      </c>
      <c r="P7">
        <f>('Distance Travel'!P7/'Time travel'!$A$1)*60</f>
        <v>0.44385945919851388</v>
      </c>
      <c r="Q7">
        <f>('Distance Travel'!Q7/'Time travel'!$A$1)*60</f>
        <v>0.24342416600658537</v>
      </c>
      <c r="R7">
        <f>('Distance Travel'!R7/'Time travel'!$A$1)*60</f>
        <v>0.36235475046423649</v>
      </c>
      <c r="S7">
        <f>('Distance Travel'!S7/'Time travel'!$A$1)*60</f>
        <v>0.25841320512698435</v>
      </c>
      <c r="T7">
        <f>('Distance Travel'!T7/'Time travel'!$A$1)*60</f>
        <v>0.2243578789791007</v>
      </c>
      <c r="U7">
        <f>('Distance Travel'!U7/'Time travel'!$A$1)*60</f>
        <v>0.14347996378589292</v>
      </c>
      <c r="V7">
        <f>('Distance Travel'!V7/'Time travel'!$A$1)*60</f>
        <v>0.42897583149170687</v>
      </c>
    </row>
    <row r="8" spans="1:22" x14ac:dyDescent="0.3">
      <c r="A8">
        <v>6</v>
      </c>
      <c r="B8">
        <f>('Distance Travel'!B8/'Time travel'!$A$1)*60</f>
        <v>0.22949754097157399</v>
      </c>
      <c r="C8">
        <f>('Distance Travel'!C8/'Time travel'!$A$1)*60</f>
        <v>9.1786138387008498E-2</v>
      </c>
      <c r="D8">
        <f>('Distance Travel'!D8/'Time travel'!$A$1)*60</f>
        <v>9.6880882737513635E-2</v>
      </c>
      <c r="E8">
        <f>('Distance Travel'!E8/'Time travel'!$A$1)*60</f>
        <v>0.17986590592994475</v>
      </c>
      <c r="F8">
        <f>('Distance Travel'!F8/'Time travel'!$A$1)*60</f>
        <v>0.31279810680373438</v>
      </c>
      <c r="G8">
        <f>('Distance Travel'!G8/'Time travel'!$A$1)*60</f>
        <v>0.29279913863944329</v>
      </c>
      <c r="H8">
        <f>('Distance Travel'!H8/'Time travel'!$A$1)*60</f>
        <v>0</v>
      </c>
      <c r="I8">
        <f>('Distance Travel'!I8/'Time travel'!$A$1)*60</f>
        <v>1.0452190966489507E-2</v>
      </c>
      <c r="J8">
        <f>('Distance Travel'!J8/'Time travel'!$A$1)*60</f>
        <v>1.6111588996737442E-2</v>
      </c>
      <c r="K8">
        <f>('Distance Travel'!K8/'Time travel'!$A$1)*60</f>
        <v>2.0728747381351376E-2</v>
      </c>
      <c r="L8">
        <f>('Distance Travel'!L8/'Time travel'!$A$1)*60</f>
        <v>4.3678371077691402E-2</v>
      </c>
      <c r="M8">
        <f>('Distance Travel'!M8/'Time travel'!$A$1)*60</f>
        <v>4.7166004240343139E-2</v>
      </c>
      <c r="N8">
        <f>('Distance Travel'!N8/'Time travel'!$A$1)*60</f>
        <v>8.2044074715974899E-2</v>
      </c>
      <c r="O8">
        <f>('Distance Travel'!O8/'Time travel'!$A$1)*60</f>
        <v>4.1805787159190352E-2</v>
      </c>
      <c r="P8">
        <f>('Distance Travel'!P8/'Time travel'!$A$1)*60</f>
        <v>0.19939698141145076</v>
      </c>
      <c r="Q8">
        <f>('Distance Travel'!Q8/'Time travel'!$A$1)*60</f>
        <v>9.0791197635015669E-2</v>
      </c>
      <c r="R8">
        <f>('Distance Travel'!R8/'Time travel'!$A$1)*60</f>
        <v>9.5862896784934454E-2</v>
      </c>
      <c r="S8">
        <f>('Distance Travel'!S8/'Time travel'!$A$1)*60</f>
        <v>4.2418368898391609E-2</v>
      </c>
      <c r="T8">
        <f>('Distance Travel'!T8/'Time travel'!$A$1)*60</f>
        <v>9.0168145949666836E-2</v>
      </c>
      <c r="U8">
        <f>('Distance Travel'!U8/'Time travel'!$A$1)*60</f>
        <v>0.16263434044506139</v>
      </c>
      <c r="V8">
        <f>('Distance Travel'!V8/'Time travel'!$A$1)*60</f>
        <v>0.15836745334821958</v>
      </c>
    </row>
    <row r="9" spans="1:22" x14ac:dyDescent="0.3">
      <c r="A9">
        <v>7</v>
      </c>
      <c r="B9">
        <f>('Distance Travel'!B9/'Time travel'!$A$1)*60</f>
        <v>0.22007642427120591</v>
      </c>
      <c r="C9">
        <f>('Distance Travel'!C9/'Time travel'!$A$1)*60</f>
        <v>9.3965227483358296E-2</v>
      </c>
      <c r="D9">
        <f>('Distance Travel'!D9/'Time travel'!$A$1)*60</f>
        <v>8.688670623288762E-2</v>
      </c>
      <c r="E9">
        <f>('Distance Travel'!E9/'Time travel'!$A$1)*60</f>
        <v>0.17071060987530948</v>
      </c>
      <c r="F9">
        <f>('Distance Travel'!F9/'Time travel'!$A$1)*60</f>
        <v>0.30372622478146499</v>
      </c>
      <c r="G9">
        <f>('Distance Travel'!G9/'Time travel'!$A$1)*60</f>
        <v>0.28575468567986817</v>
      </c>
      <c r="H9">
        <f>('Distance Travel'!H9/'Time travel'!$A$1)*60</f>
        <v>1.0452190966489507E-2</v>
      </c>
      <c r="I9">
        <f>('Distance Travel'!I9/'Time travel'!$A$1)*60</f>
        <v>0</v>
      </c>
      <c r="J9">
        <f>('Distance Travel'!J9/'Time travel'!$A$1)*60</f>
        <v>1.0040951548529416E-2</v>
      </c>
      <c r="K9">
        <f>('Distance Travel'!K9/'Time travel'!$A$1)*60</f>
        <v>1.3285845099201112E-2</v>
      </c>
      <c r="L9">
        <f>('Distance Travel'!L9/'Time travel'!$A$1)*60</f>
        <v>5.3197421178102229E-2</v>
      </c>
      <c r="M9">
        <f>('Distance Travel'!M9/'Time travel'!$A$1)*60</f>
        <v>3.9726213058888099E-2</v>
      </c>
      <c r="N9">
        <f>('Distance Travel'!N9/'Time travel'!$A$1)*60</f>
        <v>8.5479120842463258E-2</v>
      </c>
      <c r="O9">
        <f>('Distance Travel'!O9/'Time travel'!$A$1)*60</f>
        <v>4.1771435311701528E-2</v>
      </c>
      <c r="P9">
        <f>('Distance Travel'!P9/'Time travel'!$A$1)*60</f>
        <v>0.20980569251571235</v>
      </c>
      <c r="Q9">
        <f>('Distance Travel'!Q9/'Time travel'!$A$1)*60</f>
        <v>8.0349065707080253E-2</v>
      </c>
      <c r="R9">
        <f>('Distance Travel'!R9/'Time travel'!$A$1)*60</f>
        <v>9.5252868534229734E-2</v>
      </c>
      <c r="S9">
        <f>('Distance Travel'!S9/'Time travel'!$A$1)*60</f>
        <v>3.2348861185520883E-2</v>
      </c>
      <c r="T9">
        <f>('Distance Travel'!T9/'Time travel'!$A$1)*60</f>
        <v>7.9990558692889402E-2</v>
      </c>
      <c r="U9">
        <f>('Distance Travel'!U9/'Time travel'!$A$1)*60</f>
        <v>0.15376593652691856</v>
      </c>
      <c r="V9">
        <f>('Distance Travel'!V9/'Time travel'!$A$1)*60</f>
        <v>0.15966592949029756</v>
      </c>
    </row>
    <row r="10" spans="1:22" x14ac:dyDescent="0.3">
      <c r="A10">
        <v>8</v>
      </c>
      <c r="B10">
        <f>('Distance Travel'!B10/'Time travel'!$A$1)*60</f>
        <v>0.22248306309470012</v>
      </c>
      <c r="C10">
        <f>('Distance Travel'!C10/'Time travel'!$A$1)*60</f>
        <v>8.5304861408947899E-2</v>
      </c>
      <c r="D10">
        <f>('Distance Travel'!D10/'Time travel'!$A$1)*60</f>
        <v>8.82202834953522E-2</v>
      </c>
      <c r="E10">
        <f>('Distance Travel'!E10/'Time travel'!$A$1)*60</f>
        <v>0.17375263826486295</v>
      </c>
      <c r="F10">
        <f>('Distance Travel'!F10/'Time travel'!$A$1)*60</f>
        <v>0.30674934027639145</v>
      </c>
      <c r="G10">
        <f>('Distance Travel'!G10/'Time travel'!$A$1)*60</f>
        <v>0.29159485899446141</v>
      </c>
      <c r="H10">
        <f>('Distance Travel'!H10/'Time travel'!$A$1)*60</f>
        <v>1.6111588996737442E-2</v>
      </c>
      <c r="I10">
        <f>('Distance Travel'!I10/'Time travel'!$A$1)*60</f>
        <v>1.0040951548529416E-2</v>
      </c>
      <c r="J10">
        <f>('Distance Travel'!J10/'Time travel'!$A$1)*60</f>
        <v>0</v>
      </c>
      <c r="K10">
        <f>('Distance Travel'!K10/'Time travel'!$A$1)*60</f>
        <v>4.7928617756025742E-3</v>
      </c>
      <c r="L10">
        <f>('Distance Travel'!L10/'Time travel'!$A$1)*60</f>
        <v>5.9604148110680565E-2</v>
      </c>
      <c r="M10">
        <f>('Distance Travel'!M10/'Time travel'!$A$1)*60</f>
        <v>4.635143820854018E-2</v>
      </c>
      <c r="N10">
        <f>('Distance Travel'!N10/'Time travel'!$A$1)*60</f>
        <v>7.7600553915552692E-2</v>
      </c>
      <c r="O10">
        <f>('Distance Travel'!O10/'Time travel'!$A$1)*60</f>
        <v>3.2568010378282913E-2</v>
      </c>
      <c r="P10">
        <f>('Distance Travel'!P10/'Time travel'!$A$1)*60</f>
        <v>0.21324379137502697</v>
      </c>
      <c r="Q10">
        <f>('Distance Travel'!Q10/'Time travel'!$A$1)*60</f>
        <v>7.8124692255400405E-2</v>
      </c>
      <c r="R10">
        <f>('Distance Travel'!R10/'Time travel'!$A$1)*60</f>
        <v>8.5518443390884658E-2</v>
      </c>
      <c r="S10">
        <f>('Distance Travel'!S10/'Time travel'!$A$1)*60</f>
        <v>3.4570177783749496E-2</v>
      </c>
      <c r="T10">
        <f>('Distance Travel'!T10/'Time travel'!$A$1)*60</f>
        <v>8.0678298668233825E-2</v>
      </c>
      <c r="U10">
        <f>('Distance Travel'!U10/'Time travel'!$A$1)*60</f>
        <v>0.15737438736973788</v>
      </c>
      <c r="V10">
        <f>('Distance Travel'!V10/'Time travel'!$A$1)*60</f>
        <v>0.15044877869893628</v>
      </c>
    </row>
    <row r="11" spans="1:22" x14ac:dyDescent="0.3">
      <c r="A11">
        <v>9</v>
      </c>
      <c r="B11">
        <f>('Distance Travel'!B11/'Time travel'!$A$1)*60</f>
        <v>0.21932642268545696</v>
      </c>
      <c r="C11">
        <f>('Distance Travel'!C11/'Time travel'!$A$1)*60</f>
        <v>8.5343572036795087E-2</v>
      </c>
      <c r="D11">
        <f>('Distance Travel'!D11/'Time travel'!$A$1)*60</f>
        <v>8.4843459854015965E-2</v>
      </c>
      <c r="E11">
        <f>('Distance Travel'!E11/'Time travel'!$A$1)*60</f>
        <v>0.17087277087938829</v>
      </c>
      <c r="F11">
        <f>('Distance Travel'!F11/'Time travel'!$A$1)*60</f>
        <v>0.30379761253176546</v>
      </c>
      <c r="G11">
        <f>('Distance Travel'!G11/'Time travel'!$A$1)*60</f>
        <v>0.28995785316490363</v>
      </c>
      <c r="H11">
        <f>('Distance Travel'!H11/'Time travel'!$A$1)*60</f>
        <v>2.0728747381351376E-2</v>
      </c>
      <c r="I11">
        <f>('Distance Travel'!I11/'Time travel'!$A$1)*60</f>
        <v>1.3285845099201112E-2</v>
      </c>
      <c r="J11">
        <f>('Distance Travel'!J11/'Time travel'!$A$1)*60</f>
        <v>4.7928617756025742E-3</v>
      </c>
      <c r="K11">
        <f>('Distance Travel'!K11/'Time travel'!$A$1)*60</f>
        <v>0</v>
      </c>
      <c r="L11">
        <f>('Distance Travel'!L11/'Time travel'!$A$1)*60</f>
        <v>6.4326054223777754E-2</v>
      </c>
      <c r="M11">
        <f>('Distance Travel'!M11/'Time travel'!$A$1)*60</f>
        <v>4.5708897033293165E-2</v>
      </c>
      <c r="N11">
        <f>('Distance Travel'!N11/'Time travel'!$A$1)*60</f>
        <v>7.8357370680749702E-2</v>
      </c>
      <c r="O11">
        <f>('Distance Travel'!O11/'Time travel'!$A$1)*60</f>
        <v>3.2391605455732927E-2</v>
      </c>
      <c r="P11">
        <f>('Distance Travel'!P11/'Time travel'!$A$1)*60</f>
        <v>0.21793560422289254</v>
      </c>
      <c r="Q11">
        <f>('Distance Travel'!Q11/'Time travel'!$A$1)*60</f>
        <v>7.3771303743397118E-2</v>
      </c>
      <c r="R11">
        <f>('Distance Travel'!R11/'Time travel'!$A$1)*60</f>
        <v>8.4143367962065743E-2</v>
      </c>
      <c r="S11">
        <f>('Distance Travel'!S11/'Time travel'!$A$1)*60</f>
        <v>3.2008883329474914E-2</v>
      </c>
      <c r="T11">
        <f>('Distance Travel'!T11/'Time travel'!$A$1)*60</f>
        <v>7.7108470766838549E-2</v>
      </c>
      <c r="U11">
        <f>('Distance Travel'!U11/'Time travel'!$A$1)*60</f>
        <v>0.15474462799076411</v>
      </c>
      <c r="V11">
        <f>('Distance Travel'!V11/'Time travel'!$A$1)*60</f>
        <v>0.1497659471041429</v>
      </c>
    </row>
    <row r="12" spans="1:22" x14ac:dyDescent="0.3">
      <c r="A12">
        <v>10</v>
      </c>
      <c r="B12">
        <f>('Distance Travel'!B12/'Time travel'!$A$1)*60</f>
        <v>0.25859259420950254</v>
      </c>
      <c r="C12">
        <f>('Distance Travel'!C12/'Time travel'!$A$1)*60</f>
        <v>0.11331594071444463</v>
      </c>
      <c r="D12">
        <f>('Distance Travel'!D12/'Time travel'!$A$1)*60</f>
        <v>0.13215484283219037</v>
      </c>
      <c r="E12">
        <f>('Distance Travel'!E12/'Time travel'!$A$1)*60</f>
        <v>0.20795429043903096</v>
      </c>
      <c r="F12">
        <f>('Distance Travel'!F12/'Time travel'!$A$1)*60</f>
        <v>0.33893443416684904</v>
      </c>
      <c r="G12">
        <f>('Distance Travel'!G12/'Time travel'!$A$1)*60</f>
        <v>0.30774904338437853</v>
      </c>
      <c r="H12">
        <f>('Distance Travel'!H12/'Time travel'!$A$1)*60</f>
        <v>4.3678371077691402E-2</v>
      </c>
      <c r="I12">
        <f>('Distance Travel'!I12/'Time travel'!$A$1)*60</f>
        <v>5.3197421178102229E-2</v>
      </c>
      <c r="J12">
        <f>('Distance Travel'!J12/'Time travel'!$A$1)*60</f>
        <v>5.9604148110680565E-2</v>
      </c>
      <c r="K12">
        <f>('Distance Travel'!K12/'Time travel'!$A$1)*60</f>
        <v>6.4326054223777754E-2</v>
      </c>
      <c r="L12">
        <f>('Distance Travel'!L12/'Time travel'!$A$1)*60</f>
        <v>0</v>
      </c>
      <c r="M12">
        <f>('Distance Travel'!M12/'Time travel'!$A$1)*60</f>
        <v>7.5756157716717454E-2</v>
      </c>
      <c r="N12">
        <f>('Distance Travel'!N12/'Time travel'!$A$1)*60</f>
        <v>0.10022565040947276</v>
      </c>
      <c r="O12">
        <f>('Distance Travel'!O12/'Time travel'!$A$1)*60</f>
        <v>7.5643022493815673E-2</v>
      </c>
      <c r="P12">
        <f>('Distance Travel'!P12/'Time travel'!$A$1)*60</f>
        <v>0.15964162767899062</v>
      </c>
      <c r="Q12">
        <f>('Distance Travel'!Q12/'Time travel'!$A$1)*60</f>
        <v>0.13173881015100358</v>
      </c>
      <c r="R12">
        <f>('Distance Travel'!R12/'Time travel'!$A$1)*60</f>
        <v>0.1254059099404804</v>
      </c>
      <c r="S12">
        <f>('Distance Travel'!S12/'Time travel'!$A$1)*60</f>
        <v>8.0745575730197278E-2</v>
      </c>
      <c r="T12">
        <f>('Distance Travel'!T12/'Time travel'!$A$1)*60</f>
        <v>0.12695881859879565</v>
      </c>
      <c r="U12">
        <f>('Distance Travel'!U12/'Time travel'!$A$1)*60</f>
        <v>0.18940745303182138</v>
      </c>
      <c r="V12">
        <f>('Distance Travel'!V12/'Time travel'!$A$1)*60</f>
        <v>0.17925135675916759</v>
      </c>
    </row>
    <row r="13" spans="1:22" x14ac:dyDescent="0.3">
      <c r="A13">
        <v>11</v>
      </c>
      <c r="B13">
        <f>('Distance Travel'!B13/'Time travel'!$A$1)*60</f>
        <v>0.18430917469295935</v>
      </c>
      <c r="C13">
        <f>('Distance Travel'!C13/'Time travel'!$A$1)*60</f>
        <v>0.13102027887315781</v>
      </c>
      <c r="D13">
        <f>('Distance Travel'!D13/'Time travel'!$A$1)*60</f>
        <v>5.7036451257072074E-2</v>
      </c>
      <c r="E13">
        <f>('Distance Travel'!E13/'Time travel'!$A$1)*60</f>
        <v>0.13407388187115366</v>
      </c>
      <c r="F13">
        <f>('Distance Travel'!F13/'Time travel'!$A$1)*60</f>
        <v>0.26658931942596781</v>
      </c>
      <c r="G13">
        <f>('Distance Travel'!G13/'Time travel'!$A$1)*60</f>
        <v>0.24604029604924313</v>
      </c>
      <c r="H13">
        <f>('Distance Travel'!H13/'Time travel'!$A$1)*60</f>
        <v>4.7166004240343139E-2</v>
      </c>
      <c r="I13">
        <f>('Distance Travel'!I13/'Time travel'!$A$1)*60</f>
        <v>3.9726213058888099E-2</v>
      </c>
      <c r="J13">
        <f>('Distance Travel'!J13/'Time travel'!$A$1)*60</f>
        <v>4.635143820854018E-2</v>
      </c>
      <c r="K13">
        <f>('Distance Travel'!K13/'Time travel'!$A$1)*60</f>
        <v>4.5708897033293165E-2</v>
      </c>
      <c r="L13">
        <f>('Distance Travel'!L13/'Time travel'!$A$1)*60</f>
        <v>7.5756157716717454E-2</v>
      </c>
      <c r="M13">
        <f>('Distance Travel'!M13/'Time travel'!$A$1)*60</f>
        <v>0</v>
      </c>
      <c r="N13">
        <f>('Distance Travel'!N13/'Time travel'!$A$1)*60</f>
        <v>0.12390359116668577</v>
      </c>
      <c r="O13">
        <f>('Distance Travel'!O13/'Time travel'!$A$1)*60</f>
        <v>7.8080806886199866E-2</v>
      </c>
      <c r="P13">
        <f>('Distance Travel'!P13/'Time travel'!$A$1)*60</f>
        <v>0.23496421368369463</v>
      </c>
      <c r="Q13">
        <f>('Distance Travel'!Q13/'Time travel'!$A$1)*60</f>
        <v>6.4311062096666274E-2</v>
      </c>
      <c r="R13">
        <f>('Distance Travel'!R13/'Time travel'!$A$1)*60</f>
        <v>0.12807997957526437</v>
      </c>
      <c r="S13">
        <f>('Distance Travel'!S13/'Time travel'!$A$1)*60</f>
        <v>2.099626804935513E-2</v>
      </c>
      <c r="T13">
        <f>('Distance Travel'!T13/'Time travel'!$A$1)*60</f>
        <v>5.3063121845598679E-2</v>
      </c>
      <c r="U13">
        <f>('Distance Travel'!U13/'Time travel'!$A$1)*60</f>
        <v>0.11628286838567552</v>
      </c>
      <c r="V13">
        <f>('Distance Travel'!V13/'Time travel'!$A$1)*60</f>
        <v>0.19470538557523806</v>
      </c>
    </row>
    <row r="14" spans="1:22" x14ac:dyDescent="0.3">
      <c r="A14">
        <v>12</v>
      </c>
      <c r="B14">
        <f>('Distance Travel'!B14/'Time travel'!$A$1)*60</f>
        <v>0.28989525684288026</v>
      </c>
      <c r="C14">
        <f>('Distance Travel'!C14/'Time travel'!$A$1)*60</f>
        <v>1.429687644206323E-2</v>
      </c>
      <c r="D14">
        <f>('Distance Travel'!D14/'Time travel'!$A$1)*60</f>
        <v>0.1565570871599235</v>
      </c>
      <c r="E14">
        <f>('Distance Travel'!E14/'Time travel'!$A$1)*60</f>
        <v>0.24395215847374643</v>
      </c>
      <c r="F14">
        <f>('Distance Travel'!F14/'Time travel'!$A$1)*60</f>
        <v>0.375384930224963</v>
      </c>
      <c r="G14">
        <f>('Distance Travel'!G14/'Time travel'!$A$1)*60</f>
        <v>0.36760363943791563</v>
      </c>
      <c r="H14">
        <f>('Distance Travel'!H14/'Time travel'!$A$1)*60</f>
        <v>8.2044074715974899E-2</v>
      </c>
      <c r="I14">
        <f>('Distance Travel'!I14/'Time travel'!$A$1)*60</f>
        <v>8.5479120842463258E-2</v>
      </c>
      <c r="J14">
        <f>('Distance Travel'!J14/'Time travel'!$A$1)*60</f>
        <v>7.7600553915552692E-2</v>
      </c>
      <c r="K14">
        <f>('Distance Travel'!K14/'Time travel'!$A$1)*60</f>
        <v>7.8357370680749702E-2</v>
      </c>
      <c r="L14">
        <f>('Distance Travel'!L14/'Time travel'!$A$1)*60</f>
        <v>0.10022565040947276</v>
      </c>
      <c r="M14">
        <f>('Distance Travel'!M14/'Time travel'!$A$1)*60</f>
        <v>0.12390359116668577</v>
      </c>
      <c r="N14">
        <f>('Distance Travel'!N14/'Time travel'!$A$1)*60</f>
        <v>0</v>
      </c>
      <c r="O14">
        <f>('Distance Travel'!O14/'Time travel'!$A$1)*60</f>
        <v>4.6596090694394979E-2</v>
      </c>
      <c r="P14">
        <f>('Distance Travel'!P14/'Time travel'!$A$1)*60</f>
        <v>0.20144103164946295</v>
      </c>
      <c r="Q14">
        <f>('Distance Travel'!Q14/'Time travel'!$A$1)*60</f>
        <v>0.13575285227206027</v>
      </c>
      <c r="R14">
        <f>('Distance Travel'!R14/'Time travel'!$A$1)*60</f>
        <v>3.689896887447168E-2</v>
      </c>
      <c r="S14">
        <f>('Distance Travel'!S14/'Time travel'!$A$1)*60</f>
        <v>0.10925761575286153</v>
      </c>
      <c r="T14">
        <f>('Distance Travel'!T14/'Time travel'!$A$1)*60</f>
        <v>0.14779476695742699</v>
      </c>
      <c r="U14">
        <f>('Distance Travel'!U14/'Time travel'!$A$1)*60</f>
        <v>0.22937993420523897</v>
      </c>
      <c r="V14">
        <f>('Distance Travel'!V14/'Time travel'!$A$1)*60</f>
        <v>7.912749471580427E-2</v>
      </c>
    </row>
    <row r="15" spans="1:22" x14ac:dyDescent="0.3">
      <c r="A15">
        <v>13</v>
      </c>
      <c r="B15">
        <f>('Distance Travel'!B15/'Time travel'!$A$1)*60</f>
        <v>0.24547438722603979</v>
      </c>
      <c r="C15">
        <f>('Distance Travel'!C15/'Time travel'!$A$1)*60</f>
        <v>5.2951988820062169E-2</v>
      </c>
      <c r="D15">
        <f>('Distance Travel'!D15/'Time travel'!$A$1)*60</f>
        <v>0.11118554798174018</v>
      </c>
      <c r="E15">
        <f>('Distance Travel'!E15/'Time travel'!$A$1)*60</f>
        <v>0.19850888364000163</v>
      </c>
      <c r="F15">
        <f>('Distance Travel'!F15/'Time travel'!$A$1)*60</f>
        <v>0.33069314419866724</v>
      </c>
      <c r="G15">
        <f>('Distance Travel'!G15/'Time travel'!$A$1)*60</f>
        <v>0.32101308305425663</v>
      </c>
      <c r="H15">
        <f>('Distance Travel'!H15/'Time travel'!$A$1)*60</f>
        <v>4.1805787159190352E-2</v>
      </c>
      <c r="I15">
        <f>('Distance Travel'!I15/'Time travel'!$A$1)*60</f>
        <v>4.1771435311701528E-2</v>
      </c>
      <c r="J15">
        <f>('Distance Travel'!J15/'Time travel'!$A$1)*60</f>
        <v>3.2568010378282913E-2</v>
      </c>
      <c r="K15">
        <f>('Distance Travel'!K15/'Time travel'!$A$1)*60</f>
        <v>3.2391605455732927E-2</v>
      </c>
      <c r="L15">
        <f>('Distance Travel'!L15/'Time travel'!$A$1)*60</f>
        <v>7.5643022493815673E-2</v>
      </c>
      <c r="M15">
        <f>('Distance Travel'!M15/'Time travel'!$A$1)*60</f>
        <v>7.8080806886199866E-2</v>
      </c>
      <c r="N15">
        <f>('Distance Travel'!N15/'Time travel'!$A$1)*60</f>
        <v>4.6596090694394979E-2</v>
      </c>
      <c r="O15">
        <f>('Distance Travel'!O15/'Time travel'!$A$1)*60</f>
        <v>0</v>
      </c>
      <c r="P15">
        <f>('Distance Travel'!P15/'Time travel'!$A$1)*60</f>
        <v>0.21256009394991301</v>
      </c>
      <c r="Q15">
        <f>('Distance Travel'!Q15/'Time travel'!$A$1)*60</f>
        <v>9.3311566699956425E-2</v>
      </c>
      <c r="R15">
        <f>('Distance Travel'!R15/'Time travel'!$A$1)*60</f>
        <v>5.4066262493352016E-2</v>
      </c>
      <c r="S15">
        <f>('Distance Travel'!S15/'Time travel'!$A$1)*60</f>
        <v>6.2670662769748572E-2</v>
      </c>
      <c r="T15">
        <f>('Distance Travel'!T15/'Time travel'!$A$1)*60</f>
        <v>0.10264873859916729</v>
      </c>
      <c r="U15">
        <f>('Distance Travel'!U15/'Time travel'!$A$1)*60</f>
        <v>0.1834135432840211</v>
      </c>
      <c r="V15">
        <f>('Distance Travel'!V15/'Time travel'!$A$1)*60</f>
        <v>0.1179290854369752</v>
      </c>
    </row>
    <row r="16" spans="1:22" x14ac:dyDescent="0.3">
      <c r="A16">
        <v>14</v>
      </c>
      <c r="B16">
        <f>('Distance Travel'!B16/'Time travel'!$A$1)*60</f>
        <v>0.41391129846380803</v>
      </c>
      <c r="C16">
        <f>('Distance Travel'!C16/'Time travel'!$A$1)*60</f>
        <v>0.21436239995856196</v>
      </c>
      <c r="D16">
        <f>('Distance Travel'!D16/'Time travel'!$A$1)*60</f>
        <v>0.29172354214906548</v>
      </c>
      <c r="E16">
        <f>('Distance Travel'!E16/'Time travel'!$A$1)*60</f>
        <v>0.36331449769035812</v>
      </c>
      <c r="F16">
        <f>('Distance Travel'!F16/'Time travel'!$A$1)*60</f>
        <v>0.49010457045818118</v>
      </c>
      <c r="G16">
        <f>('Distance Travel'!G16/'Time travel'!$A$1)*60</f>
        <v>0.44385945919851388</v>
      </c>
      <c r="H16">
        <f>('Distance Travel'!H16/'Time travel'!$A$1)*60</f>
        <v>0.19939698141145076</v>
      </c>
      <c r="I16">
        <f>('Distance Travel'!I16/'Time travel'!$A$1)*60</f>
        <v>0.20980569251571235</v>
      </c>
      <c r="J16">
        <f>('Distance Travel'!J16/'Time travel'!$A$1)*60</f>
        <v>0.21324379137502697</v>
      </c>
      <c r="K16">
        <f>('Distance Travel'!K16/'Time travel'!$A$1)*60</f>
        <v>0.21793560422289254</v>
      </c>
      <c r="L16">
        <f>('Distance Travel'!L16/'Time travel'!$A$1)*60</f>
        <v>0.15964162767899062</v>
      </c>
      <c r="M16">
        <f>('Distance Travel'!M16/'Time travel'!$A$1)*60</f>
        <v>0.23496421368369463</v>
      </c>
      <c r="N16">
        <f>('Distance Travel'!N16/'Time travel'!$A$1)*60</f>
        <v>0.20144103164946295</v>
      </c>
      <c r="O16">
        <f>('Distance Travel'!O16/'Time travel'!$A$1)*60</f>
        <v>0.21256009394991301</v>
      </c>
      <c r="P16">
        <f>('Distance Travel'!P16/'Time travel'!$A$1)*60</f>
        <v>0</v>
      </c>
      <c r="Q16">
        <f>('Distance Travel'!Q16/'Time travel'!$A$1)*60</f>
        <v>0.2901027727202885</v>
      </c>
      <c r="R16">
        <f>('Distance Travel'!R16/'Time travel'!$A$1)*60</f>
        <v>0.23830364468886087</v>
      </c>
      <c r="S16">
        <f>('Distance Travel'!S16/'Time travel'!$A$1)*60</f>
        <v>0.23992334810934682</v>
      </c>
      <c r="T16">
        <f>('Distance Travel'!T16/'Time travel'!$A$1)*60</f>
        <v>0.28659519326743721</v>
      </c>
      <c r="U16">
        <f>('Distance Travel'!U16/'Time travel'!$A$1)*60</f>
        <v>0.34418058870308144</v>
      </c>
      <c r="V16">
        <f>('Distance Travel'!V16/'Time travel'!$A$1)*60</f>
        <v>0.25485070937315157</v>
      </c>
    </row>
    <row r="17" spans="1:22" x14ac:dyDescent="0.3">
      <c r="A17">
        <v>15</v>
      </c>
      <c r="B17">
        <f>('Distance Travel'!B17/'Time travel'!$A$1)*60</f>
        <v>0.15470515750937358</v>
      </c>
      <c r="C17">
        <f>('Distance Travel'!C17/'Time travel'!$A$1)*60</f>
        <v>0.1362095413985378</v>
      </c>
      <c r="D17">
        <f>('Distance Travel'!D17/'Time travel'!$A$1)*60</f>
        <v>3.0695967683072145E-2</v>
      </c>
      <c r="E17">
        <f>('Distance Travel'!E17/'Time travel'!$A$1)*60</f>
        <v>0.11146206129441667</v>
      </c>
      <c r="F17">
        <f>('Distance Travel'!F17/'Time travel'!$A$1)*60</f>
        <v>0.24029754799414954</v>
      </c>
      <c r="G17">
        <f>('Distance Travel'!G17/'Time travel'!$A$1)*60</f>
        <v>0.24342416600658537</v>
      </c>
      <c r="H17">
        <f>('Distance Travel'!H17/'Time travel'!$A$1)*60</f>
        <v>9.0791197635015669E-2</v>
      </c>
      <c r="I17">
        <f>('Distance Travel'!I17/'Time travel'!$A$1)*60</f>
        <v>8.0349065707080253E-2</v>
      </c>
      <c r="J17">
        <f>('Distance Travel'!J17/'Time travel'!$A$1)*60</f>
        <v>7.8124692255400405E-2</v>
      </c>
      <c r="K17">
        <f>('Distance Travel'!K17/'Time travel'!$A$1)*60</f>
        <v>7.3771303743397118E-2</v>
      </c>
      <c r="L17">
        <f>('Distance Travel'!L17/'Time travel'!$A$1)*60</f>
        <v>0.13173881015100358</v>
      </c>
      <c r="M17">
        <f>('Distance Travel'!M17/'Time travel'!$A$1)*60</f>
        <v>6.4311062096666274E-2</v>
      </c>
      <c r="N17">
        <f>('Distance Travel'!N17/'Time travel'!$A$1)*60</f>
        <v>0.13575285227206027</v>
      </c>
      <c r="O17">
        <f>('Distance Travel'!O17/'Time travel'!$A$1)*60</f>
        <v>9.3311566699956425E-2</v>
      </c>
      <c r="P17">
        <f>('Distance Travel'!P17/'Time travel'!$A$1)*60</f>
        <v>0.2901027727202885</v>
      </c>
      <c r="Q17">
        <f>('Distance Travel'!Q17/'Time travel'!$A$1)*60</f>
        <v>0</v>
      </c>
      <c r="R17">
        <f>('Distance Travel'!R17/'Time travel'!$A$1)*60</f>
        <v>0.12148687087911789</v>
      </c>
      <c r="S17">
        <f>('Distance Travel'!S17/'Time travel'!$A$1)*60</f>
        <v>5.1326980234572189E-2</v>
      </c>
      <c r="T17">
        <f>('Distance Travel'!T17/'Time travel'!$A$1)*60</f>
        <v>2.3234458891914014E-2</v>
      </c>
      <c r="U17">
        <f>('Distance Travel'!U17/'Time travel'!$A$1)*60</f>
        <v>0.10009491785300559</v>
      </c>
      <c r="V17">
        <f>('Distance Travel'!V17/'Time travel'!$A$1)*60</f>
        <v>0.18648756837923414</v>
      </c>
    </row>
    <row r="18" spans="1:22" x14ac:dyDescent="0.3">
      <c r="A18">
        <v>16</v>
      </c>
      <c r="B18">
        <f>('Distance Travel'!B18/'Time travel'!$A$1)*60</f>
        <v>0.27551606795248751</v>
      </c>
      <c r="C18">
        <f>('Distance Travel'!C18/'Time travel'!$A$1)*60</f>
        <v>2.5353652596817055E-2</v>
      </c>
      <c r="D18">
        <f>('Distance Travel'!D18/'Time travel'!$A$1)*60</f>
        <v>0.14724466340074721</v>
      </c>
      <c r="E18">
        <f>('Distance Travel'!E18/'Time travel'!$A$1)*60</f>
        <v>0.23284033844675486</v>
      </c>
      <c r="F18">
        <f>('Distance Travel'!F18/'Time travel'!$A$1)*60</f>
        <v>0.36097278168859237</v>
      </c>
      <c r="G18">
        <f>('Distance Travel'!G18/'Time travel'!$A$1)*60</f>
        <v>0.36235475046423649</v>
      </c>
      <c r="H18">
        <f>('Distance Travel'!H18/'Time travel'!$A$1)*60</f>
        <v>9.5862896784934454E-2</v>
      </c>
      <c r="I18">
        <f>('Distance Travel'!I18/'Time travel'!$A$1)*60</f>
        <v>9.5252868534229734E-2</v>
      </c>
      <c r="J18">
        <f>('Distance Travel'!J18/'Time travel'!$A$1)*60</f>
        <v>8.5518443390884658E-2</v>
      </c>
      <c r="K18">
        <f>('Distance Travel'!K18/'Time travel'!$A$1)*60</f>
        <v>8.4143367962065743E-2</v>
      </c>
      <c r="L18">
        <f>('Distance Travel'!L18/'Time travel'!$A$1)*60</f>
        <v>0.1254059099404804</v>
      </c>
      <c r="M18">
        <f>('Distance Travel'!M18/'Time travel'!$A$1)*60</f>
        <v>0.12807997957526437</v>
      </c>
      <c r="N18">
        <f>('Distance Travel'!N18/'Time travel'!$A$1)*60</f>
        <v>3.689896887447168E-2</v>
      </c>
      <c r="O18">
        <f>('Distance Travel'!O18/'Time travel'!$A$1)*60</f>
        <v>5.4066262493352016E-2</v>
      </c>
      <c r="P18">
        <f>('Distance Travel'!P18/'Time travel'!$A$1)*60</f>
        <v>0.23830364468886087</v>
      </c>
      <c r="Q18">
        <f>('Distance Travel'!Q18/'Time travel'!$A$1)*60</f>
        <v>0.12148687087911789</v>
      </c>
      <c r="R18">
        <f>('Distance Travel'!R18/'Time travel'!$A$1)*60</f>
        <v>0</v>
      </c>
      <c r="S18">
        <f>('Distance Travel'!S18/'Time travel'!$A$1)*60</f>
        <v>0.10949260508362531</v>
      </c>
      <c r="T18">
        <f>('Distance Travel'!T18/'Time travel'!$A$1)*60</f>
        <v>0.13820620525866173</v>
      </c>
      <c r="U18">
        <f>('Distance Travel'!U18/'Time travel'!$A$1)*60</f>
        <v>0.22038125715223264</v>
      </c>
      <c r="V18">
        <f>('Distance Travel'!V18/'Time travel'!$A$1)*60</f>
        <v>6.7389732660105811E-2</v>
      </c>
    </row>
    <row r="19" spans="1:22" x14ac:dyDescent="0.3">
      <c r="A19">
        <v>17</v>
      </c>
      <c r="B19">
        <f>('Distance Travel'!B19/'Time travel'!$A$1)*60</f>
        <v>0.18813202858630845</v>
      </c>
      <c r="C19">
        <f>('Distance Travel'!C19/'Time travel'!$A$1)*60</f>
        <v>0.11484855915508471</v>
      </c>
      <c r="D19">
        <f>('Distance Travel'!D19/'Time travel'!$A$1)*60</f>
        <v>5.4537997799698368E-2</v>
      </c>
      <c r="E19">
        <f>('Distance Travel'!E19/'Time travel'!$A$1)*60</f>
        <v>0.13920469658743548</v>
      </c>
      <c r="F19">
        <f>('Distance Travel'!F19/'Time travel'!$A$1)*60</f>
        <v>0.27222054254593026</v>
      </c>
      <c r="G19">
        <f>('Distance Travel'!G19/'Time travel'!$A$1)*60</f>
        <v>0.25841320512698435</v>
      </c>
      <c r="H19">
        <f>('Distance Travel'!H19/'Time travel'!$A$1)*60</f>
        <v>4.2418368898391609E-2</v>
      </c>
      <c r="I19">
        <f>('Distance Travel'!I19/'Time travel'!$A$1)*60</f>
        <v>3.2348861185520883E-2</v>
      </c>
      <c r="J19">
        <f>('Distance Travel'!J19/'Time travel'!$A$1)*60</f>
        <v>3.4570177783749496E-2</v>
      </c>
      <c r="K19">
        <f>('Distance Travel'!K19/'Time travel'!$A$1)*60</f>
        <v>3.2008883329474914E-2</v>
      </c>
      <c r="L19">
        <f>('Distance Travel'!L19/'Time travel'!$A$1)*60</f>
        <v>8.0745575730197278E-2</v>
      </c>
      <c r="M19">
        <f>('Distance Travel'!M19/'Time travel'!$A$1)*60</f>
        <v>2.099626804935513E-2</v>
      </c>
      <c r="N19">
        <f>('Distance Travel'!N19/'Time travel'!$A$1)*60</f>
        <v>0.10925761575286153</v>
      </c>
      <c r="O19">
        <f>('Distance Travel'!O19/'Time travel'!$A$1)*60</f>
        <v>6.2670662769748572E-2</v>
      </c>
      <c r="P19">
        <f>('Distance Travel'!P19/'Time travel'!$A$1)*60</f>
        <v>0.23992334810934682</v>
      </c>
      <c r="Q19">
        <f>('Distance Travel'!Q19/'Time travel'!$A$1)*60</f>
        <v>5.1326980234572189E-2</v>
      </c>
      <c r="R19">
        <f>('Distance Travel'!R19/'Time travel'!$A$1)*60</f>
        <v>0.10949260508362531</v>
      </c>
      <c r="S19">
        <f>('Distance Travel'!S19/'Time travel'!$A$1)*60</f>
        <v>0</v>
      </c>
      <c r="T19">
        <f>('Distance Travel'!T19/'Time travel'!$A$1)*60</f>
        <v>4.7765828999402668E-2</v>
      </c>
      <c r="U19">
        <f>('Distance Travel'!U19/'Time travel'!$A$1)*60</f>
        <v>0.1228241145052556</v>
      </c>
      <c r="V19">
        <f>('Distance Travel'!V19/'Time travel'!$A$1)*60</f>
        <v>0.17665824435898717</v>
      </c>
    </row>
    <row r="20" spans="1:22" x14ac:dyDescent="0.3">
      <c r="A20">
        <v>18</v>
      </c>
      <c r="B20">
        <f>('Distance Travel'!B20/'Time travel'!$A$1)*60</f>
        <v>0.1429216963235444</v>
      </c>
      <c r="C20">
        <f>('Distance Travel'!C20/'Time travel'!$A$1)*60</f>
        <v>0.15017485643076148</v>
      </c>
      <c r="D20">
        <f>('Distance Travel'!D20/'Time travel'!$A$1)*60</f>
        <v>9.0385777642283723E-3</v>
      </c>
      <c r="E20">
        <f>('Distance Travel'!E20/'Time travel'!$A$1)*60</f>
        <v>9.6166176694302788E-2</v>
      </c>
      <c r="F20">
        <f>('Distance Travel'!F20/'Time travel'!$A$1)*60</f>
        <v>0.22804623511033884</v>
      </c>
      <c r="G20">
        <f>('Distance Travel'!G20/'Time travel'!$A$1)*60</f>
        <v>0.2243578789791007</v>
      </c>
      <c r="H20">
        <f>('Distance Travel'!H20/'Time travel'!$A$1)*60</f>
        <v>9.0168145949666836E-2</v>
      </c>
      <c r="I20">
        <f>('Distance Travel'!I20/'Time travel'!$A$1)*60</f>
        <v>7.9990558692889402E-2</v>
      </c>
      <c r="J20">
        <f>('Distance Travel'!J20/'Time travel'!$A$1)*60</f>
        <v>8.0678298668233825E-2</v>
      </c>
      <c r="K20">
        <f>('Distance Travel'!K20/'Time travel'!$A$1)*60</f>
        <v>7.7108470766838549E-2</v>
      </c>
      <c r="L20">
        <f>('Distance Travel'!L20/'Time travel'!$A$1)*60</f>
        <v>0.12695881859879565</v>
      </c>
      <c r="M20">
        <f>('Distance Travel'!M20/'Time travel'!$A$1)*60</f>
        <v>5.3063121845598679E-2</v>
      </c>
      <c r="N20">
        <f>('Distance Travel'!N20/'Time travel'!$A$1)*60</f>
        <v>0.14779476695742699</v>
      </c>
      <c r="O20">
        <f>('Distance Travel'!O20/'Time travel'!$A$1)*60</f>
        <v>0.10264873859916729</v>
      </c>
      <c r="P20">
        <f>('Distance Travel'!P20/'Time travel'!$A$1)*60</f>
        <v>0.28659519326743721</v>
      </c>
      <c r="Q20">
        <f>('Distance Travel'!Q20/'Time travel'!$A$1)*60</f>
        <v>2.3234458891914014E-2</v>
      </c>
      <c r="R20">
        <f>('Distance Travel'!R20/'Time travel'!$A$1)*60</f>
        <v>0.13820620525866173</v>
      </c>
      <c r="S20">
        <f>('Distance Travel'!S20/'Time travel'!$A$1)*60</f>
        <v>4.7765828999402668E-2</v>
      </c>
      <c r="T20">
        <f>('Distance Travel'!T20/'Time travel'!$A$1)*60</f>
        <v>0</v>
      </c>
      <c r="U20">
        <f>('Distance Travel'!U20/'Time travel'!$A$1)*60</f>
        <v>8.2342743043936753E-2</v>
      </c>
      <c r="V20">
        <f>('Distance Travel'!V20/'Time travel'!$A$1)*60</f>
        <v>0.2046181541310543</v>
      </c>
    </row>
    <row r="21" spans="1:22" x14ac:dyDescent="0.3">
      <c r="A21">
        <v>19</v>
      </c>
      <c r="B21">
        <f>('Distance Travel'!B21/'Time travel'!$A$1)*60</f>
        <v>6.9732063700992844E-2</v>
      </c>
      <c r="C21">
        <f>('Distance Travel'!C21/'Time travel'!$A$1)*60</f>
        <v>0.23236935351289123</v>
      </c>
      <c r="D21">
        <f>('Distance Travel'!D21/'Time travel'!$A$1)*60</f>
        <v>7.3341624116185583E-2</v>
      </c>
      <c r="E21">
        <f>('Distance Travel'!E21/'Time travel'!$A$1)*60</f>
        <v>1.9328875807967695E-2</v>
      </c>
      <c r="F21">
        <f>('Distance Travel'!F21/'Time travel'!$A$1)*60</f>
        <v>0.15030674026137344</v>
      </c>
      <c r="G21">
        <f>('Distance Travel'!G21/'Time travel'!$A$1)*60</f>
        <v>0.14347996378589292</v>
      </c>
      <c r="H21">
        <f>('Distance Travel'!H21/'Time travel'!$A$1)*60</f>
        <v>0.16263434044506139</v>
      </c>
      <c r="I21">
        <f>('Distance Travel'!I21/'Time travel'!$A$1)*60</f>
        <v>0.15376593652691856</v>
      </c>
      <c r="J21">
        <f>('Distance Travel'!J21/'Time travel'!$A$1)*60</f>
        <v>0.15737438736973788</v>
      </c>
      <c r="K21">
        <f>('Distance Travel'!K21/'Time travel'!$A$1)*60</f>
        <v>0.15474462799076411</v>
      </c>
      <c r="L21">
        <f>('Distance Travel'!L21/'Time travel'!$A$1)*60</f>
        <v>0.18940745303182138</v>
      </c>
      <c r="M21">
        <f>('Distance Travel'!M21/'Time travel'!$A$1)*60</f>
        <v>0.11628286838567552</v>
      </c>
      <c r="N21">
        <f>('Distance Travel'!N21/'Time travel'!$A$1)*60</f>
        <v>0.22937993420523897</v>
      </c>
      <c r="O21">
        <f>('Distance Travel'!O21/'Time travel'!$A$1)*60</f>
        <v>0.1834135432840211</v>
      </c>
      <c r="P21">
        <f>('Distance Travel'!P21/'Time travel'!$A$1)*60</f>
        <v>0.34418058870308144</v>
      </c>
      <c r="Q21">
        <f>('Distance Travel'!Q21/'Time travel'!$A$1)*60</f>
        <v>0.10009491785300559</v>
      </c>
      <c r="R21">
        <f>('Distance Travel'!R21/'Time travel'!$A$1)*60</f>
        <v>0.22038125715223264</v>
      </c>
      <c r="S21">
        <f>('Distance Travel'!S21/'Time travel'!$A$1)*60</f>
        <v>0.1228241145052556</v>
      </c>
      <c r="T21">
        <f>('Distance Travel'!T21/'Time travel'!$A$1)*60</f>
        <v>8.2342743043936753E-2</v>
      </c>
      <c r="U21">
        <f>('Distance Travel'!U21/'Time travel'!$A$1)*60</f>
        <v>0</v>
      </c>
      <c r="V21">
        <f>('Distance Travel'!V21/'Time travel'!$A$1)*60</f>
        <v>0.28631259295392353</v>
      </c>
    </row>
    <row r="22" spans="1:22" x14ac:dyDescent="0.3">
      <c r="A22">
        <v>20</v>
      </c>
      <c r="B22">
        <f>('Distance Travel'!B22/'Time travel'!$A$1)*60</f>
        <v>0.33835622843388058</v>
      </c>
      <c r="C22">
        <f>('Distance Travel'!C22/'Time travel'!$A$1)*60</f>
        <v>6.700982763745203E-2</v>
      </c>
      <c r="D22">
        <f>('Distance Travel'!D22/'Time travel'!$A$1)*60</f>
        <v>0.21363971115876396</v>
      </c>
      <c r="E22">
        <f>('Distance Travel'!E22/'Time travel'!$A$1)*60</f>
        <v>0.29783592538845977</v>
      </c>
      <c r="F22">
        <f>('Distance Travel'!F22/'Time travel'!$A$1)*60</f>
        <v>0.42323870447302037</v>
      </c>
      <c r="G22">
        <f>('Distance Travel'!G22/'Time travel'!$A$1)*60</f>
        <v>0.42897583149170687</v>
      </c>
      <c r="H22">
        <f>('Distance Travel'!H22/'Time travel'!$A$1)*60</f>
        <v>0.15836745334821958</v>
      </c>
      <c r="I22">
        <f>('Distance Travel'!I22/'Time travel'!$A$1)*60</f>
        <v>0.15966592949029756</v>
      </c>
      <c r="J22">
        <f>('Distance Travel'!J22/'Time travel'!$A$1)*60</f>
        <v>0.15044877869893628</v>
      </c>
      <c r="K22">
        <f>('Distance Travel'!K22/'Time travel'!$A$1)*60</f>
        <v>0.1497659471041429</v>
      </c>
      <c r="L22">
        <f>('Distance Travel'!L22/'Time travel'!$A$1)*60</f>
        <v>0.17925135675916759</v>
      </c>
      <c r="M22">
        <f>('Distance Travel'!M22/'Time travel'!$A$1)*60</f>
        <v>0.19470538557523806</v>
      </c>
      <c r="N22">
        <f>('Distance Travel'!N22/'Time travel'!$A$1)*60</f>
        <v>7.912749471580427E-2</v>
      </c>
      <c r="O22">
        <f>('Distance Travel'!O22/'Time travel'!$A$1)*60</f>
        <v>0.1179290854369752</v>
      </c>
      <c r="P22">
        <f>('Distance Travel'!P22/'Time travel'!$A$1)*60</f>
        <v>0.25485070937315157</v>
      </c>
      <c r="Q22">
        <f>('Distance Travel'!Q22/'Time travel'!$A$1)*60</f>
        <v>0.18648756837923414</v>
      </c>
      <c r="R22">
        <f>('Distance Travel'!R22/'Time travel'!$A$1)*60</f>
        <v>6.7389732660105811E-2</v>
      </c>
      <c r="S22">
        <f>('Distance Travel'!S22/'Time travel'!$A$1)*60</f>
        <v>0.17665824435898717</v>
      </c>
      <c r="T22">
        <f>('Distance Travel'!T22/'Time travel'!$A$1)*60</f>
        <v>0.2046181541310543</v>
      </c>
      <c r="U22">
        <f>('Distance Travel'!U22/'Time travel'!$A$1)*60</f>
        <v>0.28631259295392353</v>
      </c>
      <c r="V22">
        <f>('Distance Travel'!V22/'Time travel'!$A$1)*60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6E5C8-CBF3-49FA-9B17-79A41D9FB8E8}">
  <sheetPr codeName="Feuil5">
    <tabColor rgb="FFFF5B5B"/>
  </sheetPr>
  <dimension ref="A1:V22"/>
  <sheetViews>
    <sheetView workbookViewId="0">
      <selection activeCell="E28" sqref="E28"/>
    </sheetView>
  </sheetViews>
  <sheetFormatPr baseColWidth="10" defaultColWidth="9.109375" defaultRowHeight="14.4" x14ac:dyDescent="0.3"/>
  <sheetData>
    <row r="1" spans="1:22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</row>
    <row r="2" spans="1:22" x14ac:dyDescent="0.3">
      <c r="A2">
        <v>0</v>
      </c>
      <c r="B2" s="4">
        <v>0</v>
      </c>
      <c r="C2" s="3">
        <v>0.14545035678196189</v>
      </c>
      <c r="D2" s="3">
        <v>6.7331945939501633E-2</v>
      </c>
      <c r="E2" s="3">
        <v>2.5357125408846423E-2</v>
      </c>
      <c r="F2" s="3">
        <v>4.2796281952992628E-2</v>
      </c>
      <c r="G2" s="3">
        <v>5.829845566565181E-2</v>
      </c>
      <c r="H2" s="3">
        <v>0.11474877048578699</v>
      </c>
      <c r="I2" s="3">
        <v>0.11003821213560296</v>
      </c>
      <c r="J2" s="3">
        <v>0.11124153154735006</v>
      </c>
      <c r="K2" s="3">
        <v>0.10966321134272848</v>
      </c>
      <c r="L2" s="3">
        <v>0.12929629710475127</v>
      </c>
      <c r="M2" s="3">
        <v>9.2154587346479674E-2</v>
      </c>
      <c r="N2" s="3">
        <v>0.14494762842144013</v>
      </c>
      <c r="O2" s="3">
        <v>0.12273719361301991</v>
      </c>
      <c r="P2" s="3">
        <v>0.20695564923190402</v>
      </c>
      <c r="Q2" s="3">
        <v>7.735257875468679E-2</v>
      </c>
      <c r="R2" s="3">
        <v>0.13775803397624375</v>
      </c>
      <c r="S2" s="3">
        <v>9.4066014293154226E-2</v>
      </c>
      <c r="T2" s="3">
        <v>7.14608481617722E-2</v>
      </c>
      <c r="U2" s="3">
        <v>3.4866031850496422E-2</v>
      </c>
      <c r="V2" s="3">
        <v>0.16917811421694029</v>
      </c>
    </row>
    <row r="3" spans="1:22" x14ac:dyDescent="0.3">
      <c r="A3">
        <v>1</v>
      </c>
      <c r="B3" s="3">
        <v>0.14545035678196189</v>
      </c>
      <c r="C3" s="4">
        <v>0</v>
      </c>
      <c r="D3" s="3">
        <v>7.9551837188087018E-2</v>
      </c>
      <c r="E3" s="3">
        <v>0.12308296555169573</v>
      </c>
      <c r="F3" s="3">
        <v>0.18824589834841074</v>
      </c>
      <c r="G3" s="3">
        <v>0.18612643100054269</v>
      </c>
      <c r="H3" s="3">
        <v>4.5893069193504249E-2</v>
      </c>
      <c r="I3" s="3">
        <v>4.6982613741679148E-2</v>
      </c>
      <c r="J3" s="3">
        <v>4.265243070447395E-2</v>
      </c>
      <c r="K3" s="3">
        <v>4.2671786018397544E-2</v>
      </c>
      <c r="L3" s="3">
        <v>5.6657970357222316E-2</v>
      </c>
      <c r="M3" s="3">
        <v>6.5510139436578907E-2</v>
      </c>
      <c r="N3" s="3">
        <v>7.1484382210316149E-3</v>
      </c>
      <c r="O3" s="3">
        <v>2.6475994410031085E-2</v>
      </c>
      <c r="P3" s="3">
        <v>0.10718119997928098</v>
      </c>
      <c r="Q3" s="3">
        <v>6.8104770699268902E-2</v>
      </c>
      <c r="R3" s="3">
        <v>1.2676826298408527E-2</v>
      </c>
      <c r="S3" s="3">
        <v>5.7424279577542356E-2</v>
      </c>
      <c r="T3" s="3">
        <v>7.5087428215380739E-2</v>
      </c>
      <c r="U3" s="3">
        <v>0.11618467675644562</v>
      </c>
      <c r="V3" s="3">
        <v>3.3504913818726015E-2</v>
      </c>
    </row>
    <row r="4" spans="1:22" x14ac:dyDescent="0.3">
      <c r="A4">
        <v>2</v>
      </c>
      <c r="B4" s="3">
        <v>6.7331945939501633E-2</v>
      </c>
      <c r="C4" s="3">
        <v>7.9551837188087018E-2</v>
      </c>
      <c r="D4" s="4">
        <v>0</v>
      </c>
      <c r="E4" s="3">
        <v>4.3704068380415191E-2</v>
      </c>
      <c r="F4" s="3">
        <v>0.10979871640870917</v>
      </c>
      <c r="G4" s="3">
        <v>0.10766949089226781</v>
      </c>
      <c r="H4" s="3">
        <v>4.8440441368756817E-2</v>
      </c>
      <c r="I4" s="3">
        <v>4.344335311644381E-2</v>
      </c>
      <c r="J4" s="3">
        <v>4.41101417476761E-2</v>
      </c>
      <c r="K4" s="3">
        <v>4.2421729927007983E-2</v>
      </c>
      <c r="L4" s="3">
        <v>6.6077421416095183E-2</v>
      </c>
      <c r="M4" s="3">
        <v>2.8518225628536037E-2</v>
      </c>
      <c r="N4" s="3">
        <v>7.8278543579961751E-2</v>
      </c>
      <c r="O4" s="3">
        <v>5.5592773990870092E-2</v>
      </c>
      <c r="P4" s="3">
        <v>0.14586177107453274</v>
      </c>
      <c r="Q4" s="3">
        <v>1.5347983841536074E-2</v>
      </c>
      <c r="R4" s="3">
        <v>7.3622331700373606E-2</v>
      </c>
      <c r="S4" s="3">
        <v>2.7268998899849184E-2</v>
      </c>
      <c r="T4" s="3">
        <v>4.5192888821141862E-3</v>
      </c>
      <c r="U4" s="3">
        <v>3.6670812058092792E-2</v>
      </c>
      <c r="V4" s="3">
        <v>0.10681985557938198</v>
      </c>
    </row>
    <row r="5" spans="1:22" x14ac:dyDescent="0.3">
      <c r="A5">
        <v>3</v>
      </c>
      <c r="B5" s="3">
        <v>2.5357125408846423E-2</v>
      </c>
      <c r="C5" s="3">
        <v>0.12308296555169573</v>
      </c>
      <c r="D5" s="3">
        <v>4.3704068380415191E-2</v>
      </c>
      <c r="E5" s="4">
        <v>0</v>
      </c>
      <c r="F5" s="3">
        <v>6.6517958913364802E-2</v>
      </c>
      <c r="G5" s="3">
        <v>6.7810835491093124E-2</v>
      </c>
      <c r="H5" s="3">
        <v>8.9932952964972376E-2</v>
      </c>
      <c r="I5" s="3">
        <v>8.5355304937654738E-2</v>
      </c>
      <c r="J5" s="3">
        <v>8.6876319132431476E-2</v>
      </c>
      <c r="K5" s="3">
        <v>8.5436385439694146E-2</v>
      </c>
      <c r="L5" s="3">
        <v>0.10397714521951548</v>
      </c>
      <c r="M5" s="3">
        <v>6.7036940935576828E-2</v>
      </c>
      <c r="N5" s="3">
        <v>0.1219760792368732</v>
      </c>
      <c r="O5" s="3">
        <v>9.9254441820000816E-2</v>
      </c>
      <c r="P5" s="3">
        <v>0.18165724884517906</v>
      </c>
      <c r="Q5" s="3">
        <v>5.5731030647208336E-2</v>
      </c>
      <c r="R5" s="3">
        <v>0.11642016922337743</v>
      </c>
      <c r="S5" s="3">
        <v>6.9602348293717739E-2</v>
      </c>
      <c r="T5" s="3">
        <v>4.8083088347151394E-2</v>
      </c>
      <c r="U5" s="3">
        <v>9.6644379039838475E-3</v>
      </c>
      <c r="V5" s="3">
        <v>0.14891796269422988</v>
      </c>
    </row>
    <row r="6" spans="1:22" x14ac:dyDescent="0.3">
      <c r="A6">
        <v>4</v>
      </c>
      <c r="B6" s="3">
        <v>4.2796281952992628E-2</v>
      </c>
      <c r="C6" s="3">
        <v>0.18824589834841074</v>
      </c>
      <c r="D6" s="3">
        <v>0.10979871640870917</v>
      </c>
      <c r="E6" s="3">
        <v>6.6517958913364802E-2</v>
      </c>
      <c r="F6" s="4">
        <v>0</v>
      </c>
      <c r="G6" s="3">
        <v>4.7276624075754496E-2</v>
      </c>
      <c r="H6" s="3">
        <v>0.15639905340186719</v>
      </c>
      <c r="I6" s="3">
        <v>0.1518631123907325</v>
      </c>
      <c r="J6" s="3">
        <v>0.15337467013819572</v>
      </c>
      <c r="K6" s="3">
        <v>0.15189880626588273</v>
      </c>
      <c r="L6" s="3">
        <v>0.16946721708342452</v>
      </c>
      <c r="M6" s="3">
        <v>0.1332946597129839</v>
      </c>
      <c r="N6" s="3">
        <v>0.1876924651124815</v>
      </c>
      <c r="O6" s="3">
        <v>0.16534657209933362</v>
      </c>
      <c r="P6" s="3">
        <v>0.24505228522909059</v>
      </c>
      <c r="Q6" s="3">
        <v>0.12014877399707477</v>
      </c>
      <c r="R6" s="3">
        <v>0.18048639084429619</v>
      </c>
      <c r="S6" s="3">
        <v>0.13611027127296513</v>
      </c>
      <c r="T6" s="3">
        <v>0.11402311755516942</v>
      </c>
      <c r="U6" s="3">
        <v>7.5153370130686722E-2</v>
      </c>
      <c r="V6" s="3">
        <v>0.21161935223651018</v>
      </c>
    </row>
    <row r="7" spans="1:22" x14ac:dyDescent="0.3">
      <c r="A7">
        <v>5</v>
      </c>
      <c r="B7" s="3">
        <v>5.829845566565181E-2</v>
      </c>
      <c r="C7" s="3">
        <v>0.18612643100054269</v>
      </c>
      <c r="D7" s="3">
        <v>0.10766949089226781</v>
      </c>
      <c r="E7" s="3">
        <v>6.7810835491093124E-2</v>
      </c>
      <c r="F7" s="3">
        <v>4.7276624075754496E-2</v>
      </c>
      <c r="G7" s="4">
        <v>0</v>
      </c>
      <c r="H7" s="3">
        <v>0.14639956931972165</v>
      </c>
      <c r="I7" s="3">
        <v>0.14287734283993409</v>
      </c>
      <c r="J7" s="3">
        <v>0.14579742949723071</v>
      </c>
      <c r="K7" s="3">
        <v>0.14497892658245182</v>
      </c>
      <c r="L7" s="3">
        <v>0.15387452169218926</v>
      </c>
      <c r="M7" s="3">
        <v>0.12302014802462156</v>
      </c>
      <c r="N7" s="3">
        <v>0.18380181971895782</v>
      </c>
      <c r="O7" s="3">
        <v>0.16050654152712832</v>
      </c>
      <c r="P7" s="3">
        <v>0.22192972959925694</v>
      </c>
      <c r="Q7" s="3">
        <v>0.1217120830032927</v>
      </c>
      <c r="R7" s="3">
        <v>0.18117737523211824</v>
      </c>
      <c r="S7" s="3">
        <v>0.12920660256349217</v>
      </c>
      <c r="T7" s="3">
        <v>0.11217893948955035</v>
      </c>
      <c r="U7" s="3">
        <v>7.1739981892946461E-2</v>
      </c>
      <c r="V7" s="3">
        <v>0.21448791574585344</v>
      </c>
    </row>
    <row r="8" spans="1:22" x14ac:dyDescent="0.3">
      <c r="A8">
        <v>6</v>
      </c>
      <c r="B8" s="3">
        <v>0.11474877048578699</v>
      </c>
      <c r="C8" s="3">
        <v>4.5893069193504249E-2</v>
      </c>
      <c r="D8" s="3">
        <v>4.8440441368756817E-2</v>
      </c>
      <c r="E8" s="3">
        <v>8.9932952964972376E-2</v>
      </c>
      <c r="F8" s="3">
        <v>0.15639905340186719</v>
      </c>
      <c r="G8" s="3">
        <v>0.14639956931972165</v>
      </c>
      <c r="H8" s="4">
        <v>0</v>
      </c>
      <c r="I8" s="3">
        <v>5.2260954832447533E-3</v>
      </c>
      <c r="J8" s="3">
        <v>8.0557944983687211E-3</v>
      </c>
      <c r="K8" s="3">
        <v>1.0364373690675688E-2</v>
      </c>
      <c r="L8" s="3">
        <v>2.1839185538845701E-2</v>
      </c>
      <c r="M8" s="3">
        <v>2.3583002120171569E-2</v>
      </c>
      <c r="N8" s="3">
        <v>4.1022037357987449E-2</v>
      </c>
      <c r="O8" s="3">
        <v>2.0902893579595176E-2</v>
      </c>
      <c r="P8" s="3">
        <v>9.9698490705725382E-2</v>
      </c>
      <c r="Q8" s="3">
        <v>4.5395598817507835E-2</v>
      </c>
      <c r="R8" s="3">
        <v>4.7931448392467227E-2</v>
      </c>
      <c r="S8" s="3">
        <v>2.1209184449195805E-2</v>
      </c>
      <c r="T8" s="3">
        <v>4.5084072974833418E-2</v>
      </c>
      <c r="U8" s="3">
        <v>8.1317170222530696E-2</v>
      </c>
      <c r="V8" s="3">
        <v>7.9183726674109792E-2</v>
      </c>
    </row>
    <row r="9" spans="1:22" x14ac:dyDescent="0.3">
      <c r="A9">
        <v>7</v>
      </c>
      <c r="B9" s="3">
        <v>0.11003821213560296</v>
      </c>
      <c r="C9" s="3">
        <v>4.6982613741679148E-2</v>
      </c>
      <c r="D9" s="3">
        <v>4.344335311644381E-2</v>
      </c>
      <c r="E9" s="3">
        <v>8.5355304937654738E-2</v>
      </c>
      <c r="F9" s="3">
        <v>0.1518631123907325</v>
      </c>
      <c r="G9" s="3">
        <v>0.14287734283993409</v>
      </c>
      <c r="H9" s="3">
        <v>5.2260954832447533E-3</v>
      </c>
      <c r="I9" s="4">
        <v>0</v>
      </c>
      <c r="J9" s="3">
        <v>5.0204757742647078E-3</v>
      </c>
      <c r="K9" s="3">
        <v>6.6429225496005559E-3</v>
      </c>
      <c r="L9" s="3">
        <v>2.6598710589051115E-2</v>
      </c>
      <c r="M9" s="3">
        <v>1.986310652944405E-2</v>
      </c>
      <c r="N9" s="3">
        <v>4.2739560421231629E-2</v>
      </c>
      <c r="O9" s="3">
        <v>2.0885717655850764E-2</v>
      </c>
      <c r="P9" s="3">
        <v>0.10490284625785617</v>
      </c>
      <c r="Q9" s="3">
        <v>4.0174532853540126E-2</v>
      </c>
      <c r="R9" s="3">
        <v>4.7626434267114867E-2</v>
      </c>
      <c r="S9" s="3">
        <v>1.6174430592760441E-2</v>
      </c>
      <c r="T9" s="3">
        <v>3.9995279346444701E-2</v>
      </c>
      <c r="U9" s="3">
        <v>7.6882968263459278E-2</v>
      </c>
      <c r="V9" s="3">
        <v>7.9832964745148782E-2</v>
      </c>
    </row>
    <row r="10" spans="1:22" x14ac:dyDescent="0.3">
      <c r="A10">
        <v>8</v>
      </c>
      <c r="B10" s="3">
        <v>0.11124153154735006</v>
      </c>
      <c r="C10" s="3">
        <v>4.265243070447395E-2</v>
      </c>
      <c r="D10" s="3">
        <v>4.41101417476761E-2</v>
      </c>
      <c r="E10" s="3">
        <v>8.6876319132431476E-2</v>
      </c>
      <c r="F10" s="3">
        <v>0.15337467013819572</v>
      </c>
      <c r="G10" s="3">
        <v>0.14579742949723071</v>
      </c>
      <c r="H10" s="3">
        <v>8.0557944983687211E-3</v>
      </c>
      <c r="I10" s="3">
        <v>5.0204757742647078E-3</v>
      </c>
      <c r="J10" s="4">
        <v>0</v>
      </c>
      <c r="K10" s="3">
        <v>2.3964308878012871E-3</v>
      </c>
      <c r="L10" s="3">
        <v>2.9802074055340286E-2</v>
      </c>
      <c r="M10" s="3">
        <v>2.317571910427009E-2</v>
      </c>
      <c r="N10" s="3">
        <v>3.8800276957776346E-2</v>
      </c>
      <c r="O10" s="3">
        <v>1.6284005189141457E-2</v>
      </c>
      <c r="P10" s="3">
        <v>0.10662189568751348</v>
      </c>
      <c r="Q10" s="3">
        <v>3.9062346127700202E-2</v>
      </c>
      <c r="R10" s="3">
        <v>4.2759221695442329E-2</v>
      </c>
      <c r="S10" s="3">
        <v>1.7285088891874748E-2</v>
      </c>
      <c r="T10" s="3">
        <v>4.0339149334116912E-2</v>
      </c>
      <c r="U10" s="3">
        <v>7.8687193684868942E-2</v>
      </c>
      <c r="V10" s="3">
        <v>7.5224389349468138E-2</v>
      </c>
    </row>
    <row r="11" spans="1:22" x14ac:dyDescent="0.3">
      <c r="A11">
        <v>9</v>
      </c>
      <c r="B11" s="3">
        <v>0.10966321134272848</v>
      </c>
      <c r="C11" s="3">
        <v>4.2671786018397544E-2</v>
      </c>
      <c r="D11" s="3">
        <v>4.2421729927007983E-2</v>
      </c>
      <c r="E11" s="3">
        <v>8.5436385439694146E-2</v>
      </c>
      <c r="F11" s="3">
        <v>0.15189880626588273</v>
      </c>
      <c r="G11" s="3">
        <v>0.14497892658245182</v>
      </c>
      <c r="H11" s="3">
        <v>1.0364373690675688E-2</v>
      </c>
      <c r="I11" s="3">
        <v>6.6429225496005559E-3</v>
      </c>
      <c r="J11" s="3">
        <v>2.3964308878012871E-3</v>
      </c>
      <c r="K11" s="4">
        <v>0</v>
      </c>
      <c r="L11" s="3">
        <v>3.2163027111888877E-2</v>
      </c>
      <c r="M11" s="3">
        <v>2.2854448516646583E-2</v>
      </c>
      <c r="N11" s="3">
        <v>3.9178685340374851E-2</v>
      </c>
      <c r="O11" s="3">
        <v>1.6195802727866464E-2</v>
      </c>
      <c r="P11" s="3">
        <v>0.10896780211144627</v>
      </c>
      <c r="Q11" s="3">
        <v>3.6885651871698559E-2</v>
      </c>
      <c r="R11" s="3">
        <v>4.2071683981032872E-2</v>
      </c>
      <c r="S11" s="3">
        <v>1.6004441664737457E-2</v>
      </c>
      <c r="T11" s="3">
        <v>3.8554235383419275E-2</v>
      </c>
      <c r="U11" s="3">
        <v>7.7372313995382053E-2</v>
      </c>
      <c r="V11" s="3">
        <v>7.488297355207145E-2</v>
      </c>
    </row>
    <row r="12" spans="1:22" x14ac:dyDescent="0.3">
      <c r="A12">
        <v>10</v>
      </c>
      <c r="B12" s="3">
        <v>0.12929629710475127</v>
      </c>
      <c r="C12" s="3">
        <v>5.6657970357222316E-2</v>
      </c>
      <c r="D12" s="3">
        <v>6.6077421416095183E-2</v>
      </c>
      <c r="E12" s="3">
        <v>0.10397714521951548</v>
      </c>
      <c r="F12" s="3">
        <v>0.16946721708342452</v>
      </c>
      <c r="G12" s="3">
        <v>0.15387452169218926</v>
      </c>
      <c r="H12" s="3">
        <v>2.1839185538845701E-2</v>
      </c>
      <c r="I12" s="3">
        <v>2.6598710589051115E-2</v>
      </c>
      <c r="J12" s="3">
        <v>2.9802074055340286E-2</v>
      </c>
      <c r="K12" s="3">
        <v>3.2163027111888877E-2</v>
      </c>
      <c r="L12" s="4">
        <v>0</v>
      </c>
      <c r="M12" s="3">
        <v>3.7878078858358727E-2</v>
      </c>
      <c r="N12" s="3">
        <v>5.011282520473638E-2</v>
      </c>
      <c r="O12" s="3">
        <v>3.7821511246907837E-2</v>
      </c>
      <c r="P12" s="3">
        <v>7.9820813839495311E-2</v>
      </c>
      <c r="Q12" s="3">
        <v>6.5869405075501791E-2</v>
      </c>
      <c r="R12" s="3">
        <v>6.2702954970240199E-2</v>
      </c>
      <c r="S12" s="3">
        <v>4.0372787865098639E-2</v>
      </c>
      <c r="T12" s="3">
        <v>6.3479409299397827E-2</v>
      </c>
      <c r="U12" s="3">
        <v>9.4703726515910691E-2</v>
      </c>
      <c r="V12" s="3">
        <v>8.9625678379583795E-2</v>
      </c>
    </row>
    <row r="13" spans="1:22" x14ac:dyDescent="0.3">
      <c r="A13">
        <v>11</v>
      </c>
      <c r="B13" s="3">
        <v>9.2154587346479674E-2</v>
      </c>
      <c r="C13" s="3">
        <v>6.5510139436578907E-2</v>
      </c>
      <c r="D13" s="3">
        <v>2.8518225628536037E-2</v>
      </c>
      <c r="E13" s="3">
        <v>6.7036940935576828E-2</v>
      </c>
      <c r="F13" s="3">
        <v>0.1332946597129839</v>
      </c>
      <c r="G13" s="3">
        <v>0.12302014802462156</v>
      </c>
      <c r="H13" s="3">
        <v>2.3583002120171569E-2</v>
      </c>
      <c r="I13" s="3">
        <v>1.986310652944405E-2</v>
      </c>
      <c r="J13" s="3">
        <v>2.317571910427009E-2</v>
      </c>
      <c r="K13" s="3">
        <v>2.2854448516646583E-2</v>
      </c>
      <c r="L13" s="3">
        <v>3.7878078858358727E-2</v>
      </c>
      <c r="M13" s="4">
        <v>0</v>
      </c>
      <c r="N13" s="3">
        <v>6.1951795583342885E-2</v>
      </c>
      <c r="O13" s="3">
        <v>3.9040403443099933E-2</v>
      </c>
      <c r="P13" s="3">
        <v>0.11748210684184732</v>
      </c>
      <c r="Q13" s="3">
        <v>3.2155531048333137E-2</v>
      </c>
      <c r="R13" s="3">
        <v>6.4039989787632187E-2</v>
      </c>
      <c r="S13" s="3">
        <v>1.0498134024677565E-2</v>
      </c>
      <c r="T13" s="3">
        <v>2.653156092279934E-2</v>
      </c>
      <c r="U13" s="3">
        <v>5.8141434192837758E-2</v>
      </c>
      <c r="V13" s="3">
        <v>9.735269278761903E-2</v>
      </c>
    </row>
    <row r="14" spans="1:22" x14ac:dyDescent="0.3">
      <c r="A14">
        <v>12</v>
      </c>
      <c r="B14" s="3">
        <v>0.14494762842144013</v>
      </c>
      <c r="C14" s="3">
        <v>7.1484382210316149E-3</v>
      </c>
      <c r="D14" s="3">
        <v>7.8278543579961751E-2</v>
      </c>
      <c r="E14" s="3">
        <v>0.1219760792368732</v>
      </c>
      <c r="F14" s="3">
        <v>0.1876924651124815</v>
      </c>
      <c r="G14" s="3">
        <v>0.18380181971895782</v>
      </c>
      <c r="H14" s="3">
        <v>4.1022037357987449E-2</v>
      </c>
      <c r="I14" s="3">
        <v>4.2739560421231629E-2</v>
      </c>
      <c r="J14" s="3">
        <v>3.8800276957776346E-2</v>
      </c>
      <c r="K14" s="3">
        <v>3.9178685340374851E-2</v>
      </c>
      <c r="L14" s="3">
        <v>5.011282520473638E-2</v>
      </c>
      <c r="M14" s="3">
        <v>6.1951795583342885E-2</v>
      </c>
      <c r="N14" s="4">
        <v>0</v>
      </c>
      <c r="O14" s="3">
        <v>2.3298045347197489E-2</v>
      </c>
      <c r="P14" s="3">
        <v>0.10072051582473147</v>
      </c>
      <c r="Q14" s="3">
        <v>6.7876426136030135E-2</v>
      </c>
      <c r="R14" s="3">
        <v>1.844948443723584E-2</v>
      </c>
      <c r="S14" s="3">
        <v>5.4628807876430763E-2</v>
      </c>
      <c r="T14" s="3">
        <v>7.3897383478713496E-2</v>
      </c>
      <c r="U14" s="3">
        <v>0.11468996710261949</v>
      </c>
      <c r="V14" s="3">
        <v>3.9563747357902135E-2</v>
      </c>
    </row>
    <row r="15" spans="1:22" x14ac:dyDescent="0.3">
      <c r="A15">
        <v>13</v>
      </c>
      <c r="B15" s="3">
        <v>0.12273719361301991</v>
      </c>
      <c r="C15" s="3">
        <v>2.6475994410031085E-2</v>
      </c>
      <c r="D15" s="3">
        <v>5.5592773990870092E-2</v>
      </c>
      <c r="E15" s="3">
        <v>9.9254441820000816E-2</v>
      </c>
      <c r="F15" s="3">
        <v>0.16534657209933362</v>
      </c>
      <c r="G15" s="3">
        <v>0.16050654152712832</v>
      </c>
      <c r="H15" s="3">
        <v>2.0902893579595176E-2</v>
      </c>
      <c r="I15" s="3">
        <v>2.0885717655850764E-2</v>
      </c>
      <c r="J15" s="3">
        <v>1.6284005189141457E-2</v>
      </c>
      <c r="K15" s="3">
        <v>1.6195802727866464E-2</v>
      </c>
      <c r="L15" s="3">
        <v>3.7821511246907837E-2</v>
      </c>
      <c r="M15" s="3">
        <v>3.9040403443099933E-2</v>
      </c>
      <c r="N15" s="3">
        <v>2.3298045347197489E-2</v>
      </c>
      <c r="O15" s="4">
        <v>0</v>
      </c>
      <c r="P15" s="3">
        <v>0.10628004697495651</v>
      </c>
      <c r="Q15" s="3">
        <v>4.6655783349978212E-2</v>
      </c>
      <c r="R15" s="3">
        <v>2.7033131246676008E-2</v>
      </c>
      <c r="S15" s="3">
        <v>3.1335331384874286E-2</v>
      </c>
      <c r="T15" s="3">
        <v>5.1324369299583644E-2</v>
      </c>
      <c r="U15" s="3">
        <v>9.1706771642010548E-2</v>
      </c>
      <c r="V15" s="3">
        <v>5.8964542718487604E-2</v>
      </c>
    </row>
    <row r="16" spans="1:22" x14ac:dyDescent="0.3">
      <c r="A16">
        <v>14</v>
      </c>
      <c r="B16" s="3">
        <v>0.20695564923190402</v>
      </c>
      <c r="C16" s="3">
        <v>0.10718119997928098</v>
      </c>
      <c r="D16" s="3">
        <v>0.14586177107453274</v>
      </c>
      <c r="E16" s="3">
        <v>0.18165724884517906</v>
      </c>
      <c r="F16" s="3">
        <v>0.24505228522909059</v>
      </c>
      <c r="G16" s="3">
        <v>0.22192972959925694</v>
      </c>
      <c r="H16" s="3">
        <v>9.9698490705725382E-2</v>
      </c>
      <c r="I16" s="3">
        <v>0.10490284625785617</v>
      </c>
      <c r="J16" s="3">
        <v>0.10662189568751348</v>
      </c>
      <c r="K16" s="3">
        <v>0.10896780211144627</v>
      </c>
      <c r="L16" s="3">
        <v>7.9820813839495311E-2</v>
      </c>
      <c r="M16" s="3">
        <v>0.11748210684184732</v>
      </c>
      <c r="N16" s="3">
        <v>0.10072051582473147</v>
      </c>
      <c r="O16" s="3">
        <v>0.10628004697495651</v>
      </c>
      <c r="P16" s="4">
        <v>0</v>
      </c>
      <c r="Q16" s="3">
        <v>0.14505138636014425</v>
      </c>
      <c r="R16" s="3">
        <v>0.11915182234443045</v>
      </c>
      <c r="S16" s="3">
        <v>0.1199616740546734</v>
      </c>
      <c r="T16" s="3">
        <v>0.1432975966337186</v>
      </c>
      <c r="U16" s="3">
        <v>0.17209029435154072</v>
      </c>
      <c r="V16" s="3">
        <v>0.12742535468657579</v>
      </c>
    </row>
    <row r="17" spans="1:22" x14ac:dyDescent="0.3">
      <c r="A17">
        <v>15</v>
      </c>
      <c r="B17" s="3">
        <v>7.735257875468679E-2</v>
      </c>
      <c r="C17" s="3">
        <v>6.8104770699268902E-2</v>
      </c>
      <c r="D17" s="3">
        <v>1.5347983841536074E-2</v>
      </c>
      <c r="E17" s="3">
        <v>5.5731030647208336E-2</v>
      </c>
      <c r="F17" s="3">
        <v>0.12014877399707477</v>
      </c>
      <c r="G17" s="3">
        <v>0.1217120830032927</v>
      </c>
      <c r="H17" s="3">
        <v>4.5395598817507835E-2</v>
      </c>
      <c r="I17" s="3">
        <v>4.0174532853540126E-2</v>
      </c>
      <c r="J17" s="3">
        <v>3.9062346127700202E-2</v>
      </c>
      <c r="K17" s="3">
        <v>3.6885651871698559E-2</v>
      </c>
      <c r="L17" s="3">
        <v>6.5869405075501791E-2</v>
      </c>
      <c r="M17" s="3">
        <v>3.2155531048333137E-2</v>
      </c>
      <c r="N17" s="3">
        <v>6.7876426136030135E-2</v>
      </c>
      <c r="O17" s="3">
        <v>4.6655783349978212E-2</v>
      </c>
      <c r="P17" s="3">
        <v>0.14505138636014425</v>
      </c>
      <c r="Q17" s="4">
        <v>0</v>
      </c>
      <c r="R17" s="3">
        <v>6.0743435439558936E-2</v>
      </c>
      <c r="S17" s="3">
        <v>2.5663490117286095E-2</v>
      </c>
      <c r="T17" s="3">
        <v>1.1617229445957007E-2</v>
      </c>
      <c r="U17" s="3">
        <v>5.0047458926502794E-2</v>
      </c>
      <c r="V17" s="3">
        <v>9.3243784189617068E-2</v>
      </c>
    </row>
    <row r="18" spans="1:22" x14ac:dyDescent="0.3">
      <c r="A18">
        <v>16</v>
      </c>
      <c r="B18" s="3">
        <v>0.13775803397624375</v>
      </c>
      <c r="C18" s="3">
        <v>1.2676826298408527E-2</v>
      </c>
      <c r="D18" s="3">
        <v>7.3622331700373606E-2</v>
      </c>
      <c r="E18" s="3">
        <v>0.11642016922337743</v>
      </c>
      <c r="F18" s="3">
        <v>0.18048639084429619</v>
      </c>
      <c r="G18" s="3">
        <v>0.18117737523211824</v>
      </c>
      <c r="H18" s="3">
        <v>4.7931448392467227E-2</v>
      </c>
      <c r="I18" s="3">
        <v>4.7626434267114867E-2</v>
      </c>
      <c r="J18" s="3">
        <v>4.2759221695442329E-2</v>
      </c>
      <c r="K18" s="3">
        <v>4.2071683981032872E-2</v>
      </c>
      <c r="L18" s="3">
        <v>6.2702954970240199E-2</v>
      </c>
      <c r="M18" s="3">
        <v>6.4039989787632187E-2</v>
      </c>
      <c r="N18" s="3">
        <v>1.844948443723584E-2</v>
      </c>
      <c r="O18" s="3">
        <v>2.7033131246676008E-2</v>
      </c>
      <c r="P18" s="3">
        <v>0.11915182234443045</v>
      </c>
      <c r="Q18" s="3">
        <v>6.0743435439558936E-2</v>
      </c>
      <c r="R18" s="4">
        <v>0</v>
      </c>
      <c r="S18" s="3">
        <v>5.4746302541812654E-2</v>
      </c>
      <c r="T18" s="3">
        <v>6.9103102629330865E-2</v>
      </c>
      <c r="U18" s="3">
        <v>0.11019062857611632</v>
      </c>
      <c r="V18" s="3">
        <v>3.3694866330052906E-2</v>
      </c>
    </row>
    <row r="19" spans="1:22" x14ac:dyDescent="0.3">
      <c r="A19">
        <v>17</v>
      </c>
      <c r="B19" s="3">
        <v>9.4066014293154226E-2</v>
      </c>
      <c r="C19" s="3">
        <v>5.7424279577542356E-2</v>
      </c>
      <c r="D19" s="3">
        <v>2.7268998899849184E-2</v>
      </c>
      <c r="E19" s="3">
        <v>6.9602348293717739E-2</v>
      </c>
      <c r="F19" s="3">
        <v>0.13611027127296513</v>
      </c>
      <c r="G19" s="3">
        <v>0.12920660256349217</v>
      </c>
      <c r="H19" s="3">
        <v>2.1209184449195805E-2</v>
      </c>
      <c r="I19" s="3">
        <v>1.6174430592760441E-2</v>
      </c>
      <c r="J19" s="3">
        <v>1.7285088891874748E-2</v>
      </c>
      <c r="K19" s="3">
        <v>1.6004441664737457E-2</v>
      </c>
      <c r="L19" s="3">
        <v>4.0372787865098639E-2</v>
      </c>
      <c r="M19" s="3">
        <v>1.0498134024677565E-2</v>
      </c>
      <c r="N19" s="3">
        <v>5.4628807876430763E-2</v>
      </c>
      <c r="O19" s="3">
        <v>3.1335331384874286E-2</v>
      </c>
      <c r="P19" s="3">
        <v>0.1199616740546734</v>
      </c>
      <c r="Q19" s="3">
        <v>2.5663490117286095E-2</v>
      </c>
      <c r="R19" s="3">
        <v>5.4746302541812654E-2</v>
      </c>
      <c r="S19" s="4">
        <v>0</v>
      </c>
      <c r="T19" s="3">
        <v>2.3882914499701334E-2</v>
      </c>
      <c r="U19" s="3">
        <v>6.14120572526278E-2</v>
      </c>
      <c r="V19" s="3">
        <v>8.8329122179493583E-2</v>
      </c>
    </row>
    <row r="20" spans="1:22" x14ac:dyDescent="0.3">
      <c r="A20">
        <v>18</v>
      </c>
      <c r="B20" s="3">
        <v>7.14608481617722E-2</v>
      </c>
      <c r="C20" s="3">
        <v>7.5087428215380739E-2</v>
      </c>
      <c r="D20" s="3">
        <v>4.5192888821141862E-3</v>
      </c>
      <c r="E20" s="3">
        <v>4.8083088347151394E-2</v>
      </c>
      <c r="F20" s="3">
        <v>0.11402311755516942</v>
      </c>
      <c r="G20" s="3">
        <v>0.11217893948955035</v>
      </c>
      <c r="H20" s="3">
        <v>4.5084072974833418E-2</v>
      </c>
      <c r="I20" s="3">
        <v>3.9995279346444701E-2</v>
      </c>
      <c r="J20" s="3">
        <v>4.0339149334116912E-2</v>
      </c>
      <c r="K20" s="3">
        <v>3.8554235383419275E-2</v>
      </c>
      <c r="L20" s="3">
        <v>6.3479409299397827E-2</v>
      </c>
      <c r="M20" s="3">
        <v>2.653156092279934E-2</v>
      </c>
      <c r="N20" s="3">
        <v>7.3897383478713496E-2</v>
      </c>
      <c r="O20" s="3">
        <v>5.1324369299583644E-2</v>
      </c>
      <c r="P20" s="3">
        <v>0.1432975966337186</v>
      </c>
      <c r="Q20" s="3">
        <v>1.1617229445957007E-2</v>
      </c>
      <c r="R20" s="3">
        <v>6.9103102629330865E-2</v>
      </c>
      <c r="S20" s="3">
        <v>2.3882914499701334E-2</v>
      </c>
      <c r="T20" s="4">
        <v>0</v>
      </c>
      <c r="U20" s="3">
        <v>4.1171371521968377E-2</v>
      </c>
      <c r="V20" s="3">
        <v>0.10230907706552715</v>
      </c>
    </row>
    <row r="21" spans="1:22" x14ac:dyDescent="0.3">
      <c r="A21">
        <v>19</v>
      </c>
      <c r="B21" s="3">
        <v>3.4866031850496422E-2</v>
      </c>
      <c r="C21" s="3">
        <v>0.11618467675644562</v>
      </c>
      <c r="D21" s="3">
        <v>3.6670812058092792E-2</v>
      </c>
      <c r="E21" s="3">
        <v>9.6644379039838475E-3</v>
      </c>
      <c r="F21" s="3">
        <v>7.5153370130686722E-2</v>
      </c>
      <c r="G21" s="3">
        <v>7.1739981892946461E-2</v>
      </c>
      <c r="H21" s="3">
        <v>8.1317170222530696E-2</v>
      </c>
      <c r="I21" s="3">
        <v>7.6882968263459278E-2</v>
      </c>
      <c r="J21" s="3">
        <v>7.8687193684868942E-2</v>
      </c>
      <c r="K21" s="3">
        <v>7.7372313995382053E-2</v>
      </c>
      <c r="L21" s="3">
        <v>9.4703726515910691E-2</v>
      </c>
      <c r="M21" s="3">
        <v>5.8141434192837758E-2</v>
      </c>
      <c r="N21" s="3">
        <v>0.11468996710261949</v>
      </c>
      <c r="O21" s="3">
        <v>9.1706771642010548E-2</v>
      </c>
      <c r="P21" s="3">
        <v>0.17209029435154072</v>
      </c>
      <c r="Q21" s="3">
        <v>5.0047458926502794E-2</v>
      </c>
      <c r="R21" s="3">
        <v>0.11019062857611632</v>
      </c>
      <c r="S21" s="3">
        <v>6.14120572526278E-2</v>
      </c>
      <c r="T21" s="3">
        <v>4.1171371521968377E-2</v>
      </c>
      <c r="U21" s="4">
        <v>0</v>
      </c>
      <c r="V21" s="3">
        <v>0.14315629647696176</v>
      </c>
    </row>
    <row r="22" spans="1:22" x14ac:dyDescent="0.3">
      <c r="A22">
        <v>20</v>
      </c>
      <c r="B22" s="3">
        <v>0.16917811421694029</v>
      </c>
      <c r="C22" s="3">
        <v>3.3504913818726015E-2</v>
      </c>
      <c r="D22" s="3">
        <v>0.10681985557938198</v>
      </c>
      <c r="E22" s="3">
        <v>0.14891796269422988</v>
      </c>
      <c r="F22" s="3">
        <v>0.21161935223651018</v>
      </c>
      <c r="G22" s="3">
        <v>0.21448791574585344</v>
      </c>
      <c r="H22" s="3">
        <v>7.9183726674109792E-2</v>
      </c>
      <c r="I22" s="3">
        <v>7.9832964745148782E-2</v>
      </c>
      <c r="J22" s="3">
        <v>7.5224389349468138E-2</v>
      </c>
      <c r="K22" s="3">
        <v>7.488297355207145E-2</v>
      </c>
      <c r="L22" s="3">
        <v>8.9625678379583795E-2</v>
      </c>
      <c r="M22" s="3">
        <v>9.735269278761903E-2</v>
      </c>
      <c r="N22" s="3">
        <v>3.9563747357902135E-2</v>
      </c>
      <c r="O22" s="3">
        <v>5.8964542718487604E-2</v>
      </c>
      <c r="P22" s="3">
        <v>0.12742535468657579</v>
      </c>
      <c r="Q22" s="3">
        <v>9.3243784189617068E-2</v>
      </c>
      <c r="R22" s="3">
        <v>3.3694866330052906E-2</v>
      </c>
      <c r="S22" s="3">
        <v>8.8329122179493583E-2</v>
      </c>
      <c r="T22" s="3">
        <v>0.10230907706552715</v>
      </c>
      <c r="U22" s="3">
        <v>0.14315629647696176</v>
      </c>
      <c r="V22" s="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0E79C10D691044A3BADE77DC73A131" ma:contentTypeVersion="6" ma:contentTypeDescription="Crée un document." ma:contentTypeScope="" ma:versionID="24af199bd770fe1422178e29b2652e03">
  <xsd:schema xmlns:xsd="http://www.w3.org/2001/XMLSchema" xmlns:xs="http://www.w3.org/2001/XMLSchema" xmlns:p="http://schemas.microsoft.com/office/2006/metadata/properties" xmlns:ns2="3767dc0e-37be-4a8a-a1a4-fad3dff11794" targetNamespace="http://schemas.microsoft.com/office/2006/metadata/properties" ma:root="true" ma:fieldsID="85fe7e666e30399c18a649205e35dab6" ns2:_="">
    <xsd:import namespace="3767dc0e-37be-4a8a-a1a4-fad3dff1179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7dc0e-37be-4a8a-a1a4-fad3dff117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782141-242D-49E4-8BF8-6BE112B70CE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81C4A12-39B6-48A0-B883-9508AFEBFD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67dc0e-37be-4a8a-a1a4-fad3dff1179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D7C32D-8259-45CD-8EAF-FBFCB43E7641}">
  <ds:schemaRefs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3767dc0e-37be-4a8a-a1a4-fad3dff1179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Model</vt:lpstr>
      <vt:lpstr>Repres_Geo</vt:lpstr>
      <vt:lpstr>Tri</vt:lpstr>
      <vt:lpstr>Location</vt:lpstr>
      <vt:lpstr>Time travel</vt:lpstr>
      <vt:lpstr>Distance Travel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isidore</dc:creator>
  <cp:keywords/>
  <dc:description/>
  <cp:lastModifiedBy>Thomas Koenig</cp:lastModifiedBy>
  <cp:revision/>
  <dcterms:created xsi:type="dcterms:W3CDTF">2020-03-31T14:40:54Z</dcterms:created>
  <dcterms:modified xsi:type="dcterms:W3CDTF">2021-11-15T15:49:05Z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0x010100920E79C10D691044A3BADE77DC73A131</vt:lpwstr>
  </property>
</Properties>
</file>